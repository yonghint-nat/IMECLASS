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AA5639-BEBF-46EA-9AA4-9EEFE97E9E8D}" xr6:coauthVersionLast="47" xr6:coauthVersionMax="47" xr10:uidLastSave="{00000000-0000-0000-0000-000000000000}"/>
  <bookViews>
    <workbookView xWindow="1656" yWindow="660" windowWidth="20976" windowHeight="11148" xr2:uid="{00000000-000D-0000-FFFF-FFFF00000000}"/>
  </bookViews>
  <sheets>
    <sheet name="Transactions" sheetId="3" r:id="rId1"/>
    <sheet name="Products" sheetId="1" r:id="rId2"/>
    <sheet name="Employees" sheetId="2" r:id="rId3"/>
    <sheet name="Stock" sheetId="4" r:id="rId4"/>
    <sheet name="คู่มือการสอ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E11" i="4"/>
  <c r="G11" i="4" s="1"/>
  <c r="H11" i="4" s="1"/>
  <c r="F10" i="4"/>
  <c r="E10" i="4"/>
  <c r="G10" i="4" s="1"/>
  <c r="H10" i="4" s="1"/>
  <c r="F9" i="4"/>
  <c r="E9" i="4"/>
  <c r="G9" i="4" s="1"/>
  <c r="H9" i="4" s="1"/>
  <c r="F8" i="4"/>
  <c r="E8" i="4"/>
  <c r="G8" i="4" s="1"/>
  <c r="H8" i="4" s="1"/>
  <c r="F7" i="4"/>
  <c r="E7" i="4"/>
  <c r="G7" i="4" s="1"/>
  <c r="H7" i="4" s="1"/>
  <c r="F6" i="4"/>
  <c r="E6" i="4"/>
  <c r="G6" i="4" s="1"/>
  <c r="H6" i="4" s="1"/>
  <c r="F5" i="4"/>
  <c r="E5" i="4"/>
  <c r="G5" i="4" s="1"/>
  <c r="H5" i="4" s="1"/>
  <c r="F4" i="4"/>
  <c r="E4" i="4"/>
  <c r="G4" i="4" s="1"/>
  <c r="H4" i="4" s="1"/>
  <c r="F3" i="4"/>
  <c r="E3" i="4"/>
  <c r="G3" i="4" s="1"/>
  <c r="H3" i="4" s="1"/>
  <c r="F2" i="4"/>
  <c r="E2" i="4"/>
  <c r="G2" i="4" s="1"/>
  <c r="H2" i="4" s="1"/>
</calcChain>
</file>

<file path=xl/sharedStrings.xml><?xml version="1.0" encoding="utf-8"?>
<sst xmlns="http://schemas.openxmlformats.org/spreadsheetml/2006/main" count="1579" uniqueCount="382">
  <si>
    <t>ProductID</t>
  </si>
  <si>
    <t>ProductName</t>
  </si>
  <si>
    <t>Unit</t>
  </si>
  <si>
    <t>Category</t>
  </si>
  <si>
    <t>MinimumStock</t>
  </si>
  <si>
    <t>P001</t>
  </si>
  <si>
    <t>กาแฟคั่ว</t>
  </si>
  <si>
    <t>ถุง</t>
  </si>
  <si>
    <t>วัตถุดิบ</t>
  </si>
  <si>
    <t>P002</t>
  </si>
  <si>
    <t>ชาไทย</t>
  </si>
  <si>
    <t>P003</t>
  </si>
  <si>
    <t>น้ำตาล</t>
  </si>
  <si>
    <t>กก.</t>
  </si>
  <si>
    <t>P004</t>
  </si>
  <si>
    <t>นมสด</t>
  </si>
  <si>
    <t>ขวด</t>
  </si>
  <si>
    <t>P005</t>
  </si>
  <si>
    <t>นมข้นหวาน</t>
  </si>
  <si>
    <t>กระป๋อง</t>
  </si>
  <si>
    <t>P006</t>
  </si>
  <si>
    <t>ไซรัปวานิลลา</t>
  </si>
  <si>
    <t>P007</t>
  </si>
  <si>
    <t>แก้วพลาสติก 16 oz</t>
  </si>
  <si>
    <t>แพ็ก</t>
  </si>
  <si>
    <t>บรรจุภัณฑ์</t>
  </si>
  <si>
    <t>P008</t>
  </si>
  <si>
    <t>ฝาแก้ว 16 oz</t>
  </si>
  <si>
    <t>P009</t>
  </si>
  <si>
    <t>หลอด</t>
  </si>
  <si>
    <t>P010</t>
  </si>
  <si>
    <t>ถุงหิ้ว</t>
  </si>
  <si>
    <t>EmployeeID</t>
  </si>
  <si>
    <t>EmployeeName</t>
  </si>
  <si>
    <t>E001</t>
  </si>
  <si>
    <t>กิตติ</t>
  </si>
  <si>
    <t>E002</t>
  </si>
  <si>
    <t>พิมพ์ชนก</t>
  </si>
  <si>
    <t>E003</t>
  </si>
  <si>
    <t>ธนกร</t>
  </si>
  <si>
    <t>E004</t>
  </si>
  <si>
    <t>ศิริพร</t>
  </si>
  <si>
    <t>E005</t>
  </si>
  <si>
    <t>ณัฐวุฒิ</t>
  </si>
  <si>
    <t>TransactionID</t>
  </si>
  <si>
    <t>DateTime</t>
  </si>
  <si>
    <t>Action</t>
  </si>
  <si>
    <t>Product</t>
  </si>
  <si>
    <t>Quantity</t>
  </si>
  <si>
    <t>Employee</t>
  </si>
  <si>
    <t>Note</t>
  </si>
  <si>
    <t>T0009</t>
  </si>
  <si>
    <t>เข้า</t>
  </si>
  <si>
    <t>ยอดตั้งต้น/รับสินค้า</t>
  </si>
  <si>
    <t>T0002</t>
  </si>
  <si>
    <t>T0007</t>
  </si>
  <si>
    <t>T0008</t>
  </si>
  <si>
    <t>T0006</t>
  </si>
  <si>
    <t>T0017</t>
  </si>
  <si>
    <t>ออก</t>
  </si>
  <si>
    <t>เบิกใช้งาน</t>
  </si>
  <si>
    <t>T0013</t>
  </si>
  <si>
    <t>ใช้ในการผลิต</t>
  </si>
  <si>
    <t>T0001</t>
  </si>
  <si>
    <t>T0010</t>
  </si>
  <si>
    <t>T0011</t>
  </si>
  <si>
    <t>T0003</t>
  </si>
  <si>
    <t>T0004</t>
  </si>
  <si>
    <t>T0005</t>
  </si>
  <si>
    <t>T0018</t>
  </si>
  <si>
    <t>เบิกประจำวัน</t>
  </si>
  <si>
    <t>T0015</t>
  </si>
  <si>
    <t>T0014</t>
  </si>
  <si>
    <t>ขายหน้าร้าน</t>
  </si>
  <si>
    <t>T0016</t>
  </si>
  <si>
    <t>T0012</t>
  </si>
  <si>
    <t>T0027</t>
  </si>
  <si>
    <t>T0019</t>
  </si>
  <si>
    <t>T0021</t>
  </si>
  <si>
    <t>เติมสต๊อก</t>
  </si>
  <si>
    <t>T0025</t>
  </si>
  <si>
    <t>รับสินค้าเพิ่ม</t>
  </si>
  <si>
    <t>T0024</t>
  </si>
  <si>
    <t>T0026</t>
  </si>
  <si>
    <t>T0020</t>
  </si>
  <si>
    <t>T0022</t>
  </si>
  <si>
    <t>รับจากผู้ขาย</t>
  </si>
  <si>
    <t>T0023</t>
  </si>
  <si>
    <t>T0029</t>
  </si>
  <si>
    <t>T0035</t>
  </si>
  <si>
    <t>T0036</t>
  </si>
  <si>
    <t>T0033</t>
  </si>
  <si>
    <t>T0031</t>
  </si>
  <si>
    <t>T0032</t>
  </si>
  <si>
    <t>T0030</t>
  </si>
  <si>
    <t>T0034</t>
  </si>
  <si>
    <t>T0028</t>
  </si>
  <si>
    <t>T0046</t>
  </si>
  <si>
    <t>T0040</t>
  </si>
  <si>
    <t>T0041</t>
  </si>
  <si>
    <t>T0043</t>
  </si>
  <si>
    <t>T0039</t>
  </si>
  <si>
    <t>T0045</t>
  </si>
  <si>
    <t>T0042</t>
  </si>
  <si>
    <t>T0047</t>
  </si>
  <si>
    <t>T0044</t>
  </si>
  <si>
    <t>T0038</t>
  </si>
  <si>
    <t>T0037</t>
  </si>
  <si>
    <t>T0055</t>
  </si>
  <si>
    <t>T0048</t>
  </si>
  <si>
    <t>T0054</t>
  </si>
  <si>
    <t>T0050</t>
  </si>
  <si>
    <t>T0052</t>
  </si>
  <si>
    <t>T0049</t>
  </si>
  <si>
    <t>T0051</t>
  </si>
  <si>
    <t>T0053</t>
  </si>
  <si>
    <t>T0058</t>
  </si>
  <si>
    <t>T0059</t>
  </si>
  <si>
    <t>T0056</t>
  </si>
  <si>
    <t>T0057</t>
  </si>
  <si>
    <t>T0060</t>
  </si>
  <si>
    <t>T0066</t>
  </si>
  <si>
    <t>T0067</t>
  </si>
  <si>
    <t>T0065</t>
  </si>
  <si>
    <t>T0064</t>
  </si>
  <si>
    <t>T0061</t>
  </si>
  <si>
    <t>T0063</t>
  </si>
  <si>
    <t>T0062</t>
  </si>
  <si>
    <t>T0073</t>
  </si>
  <si>
    <t>T0072</t>
  </si>
  <si>
    <t>T0070</t>
  </si>
  <si>
    <t>T0074</t>
  </si>
  <si>
    <t>T0068</t>
  </si>
  <si>
    <t>T0071</t>
  </si>
  <si>
    <t>T0069</t>
  </si>
  <si>
    <t>T0076</t>
  </si>
  <si>
    <t>T0080</t>
  </si>
  <si>
    <t>T0077</t>
  </si>
  <si>
    <t>T0081</t>
  </si>
  <si>
    <t>T0078</t>
  </si>
  <si>
    <t>T0075</t>
  </si>
  <si>
    <t>T0079</t>
  </si>
  <si>
    <t>T0087</t>
  </si>
  <si>
    <t>T0090</t>
  </si>
  <si>
    <t>T0086</t>
  </si>
  <si>
    <t>T0089</t>
  </si>
  <si>
    <t>T0083</t>
  </si>
  <si>
    <t>T0085</t>
  </si>
  <si>
    <t>T0092</t>
  </si>
  <si>
    <t>T0091</t>
  </si>
  <si>
    <t>T0084</t>
  </si>
  <si>
    <t>T0088</t>
  </si>
  <si>
    <t>T0082</t>
  </si>
  <si>
    <t>T0094</t>
  </si>
  <si>
    <t>T0098</t>
  </si>
  <si>
    <t>T0093</t>
  </si>
  <si>
    <t>T0095</t>
  </si>
  <si>
    <t>T0096</t>
  </si>
  <si>
    <t>T0099</t>
  </si>
  <si>
    <t>T0101</t>
  </si>
  <si>
    <t>T0100</t>
  </si>
  <si>
    <t>T0097</t>
  </si>
  <si>
    <t>T0106</t>
  </si>
  <si>
    <t>T0103</t>
  </si>
  <si>
    <t>T0105</t>
  </si>
  <si>
    <t>T0107</t>
  </si>
  <si>
    <t>T0102</t>
  </si>
  <si>
    <t>T0104</t>
  </si>
  <si>
    <t>T0108</t>
  </si>
  <si>
    <t>T0113</t>
  </si>
  <si>
    <t>T0112</t>
  </si>
  <si>
    <t>T0110</t>
  </si>
  <si>
    <t>T0111</t>
  </si>
  <si>
    <t>T0115</t>
  </si>
  <si>
    <t>T0114</t>
  </si>
  <si>
    <t>T0116</t>
  </si>
  <si>
    <t>T0109</t>
  </si>
  <si>
    <t>T0127</t>
  </si>
  <si>
    <t>T0117</t>
  </si>
  <si>
    <t>T0124</t>
  </si>
  <si>
    <t>T0126</t>
  </si>
  <si>
    <t>T0125</t>
  </si>
  <si>
    <t>T0119</t>
  </si>
  <si>
    <t>T0123</t>
  </si>
  <si>
    <t>T0121</t>
  </si>
  <si>
    <t>T0120</t>
  </si>
  <si>
    <t>T0118</t>
  </si>
  <si>
    <t>T0122</t>
  </si>
  <si>
    <t>T0129</t>
  </si>
  <si>
    <t>T0131</t>
  </si>
  <si>
    <t>T0135</t>
  </si>
  <si>
    <t>T0137</t>
  </si>
  <si>
    <t>T0128</t>
  </si>
  <si>
    <t>T0138</t>
  </si>
  <si>
    <t>T0134</t>
  </si>
  <si>
    <t>T0130</t>
  </si>
  <si>
    <t>T0136</t>
  </si>
  <si>
    <t>T0133</t>
  </si>
  <si>
    <t>T0132</t>
  </si>
  <si>
    <t>T0139</t>
  </si>
  <si>
    <t>T0142</t>
  </si>
  <si>
    <t>T0144</t>
  </si>
  <si>
    <t>T0143</t>
  </si>
  <si>
    <t>T0141</t>
  </si>
  <si>
    <t>T0140</t>
  </si>
  <si>
    <t>T0155</t>
  </si>
  <si>
    <t>T0146</t>
  </si>
  <si>
    <t>T0145</t>
  </si>
  <si>
    <t>T0150</t>
  </si>
  <si>
    <t>T0148</t>
  </si>
  <si>
    <t>T0149</t>
  </si>
  <si>
    <t>T0154</t>
  </si>
  <si>
    <t>T0152</t>
  </si>
  <si>
    <t>T0153</t>
  </si>
  <si>
    <t>T0151</t>
  </si>
  <si>
    <t>T0147</t>
  </si>
  <si>
    <t>T0159</t>
  </si>
  <si>
    <t>T0162</t>
  </si>
  <si>
    <t>T0160</t>
  </si>
  <si>
    <t>T0161</t>
  </si>
  <si>
    <t>T0158</t>
  </si>
  <si>
    <t>T0156</t>
  </si>
  <si>
    <t>T0157</t>
  </si>
  <si>
    <t>T0172</t>
  </si>
  <si>
    <t>T0164</t>
  </si>
  <si>
    <t>T0165</t>
  </si>
  <si>
    <t>T0171</t>
  </si>
  <si>
    <t>T0163</t>
  </si>
  <si>
    <t>T0173</t>
  </si>
  <si>
    <t>T0167</t>
  </si>
  <si>
    <t>T0169</t>
  </si>
  <si>
    <t>T0166</t>
  </si>
  <si>
    <t>T0170</t>
  </si>
  <si>
    <t>T0168</t>
  </si>
  <si>
    <t>T0175</t>
  </si>
  <si>
    <t>T0177</t>
  </si>
  <si>
    <t>T0178</t>
  </si>
  <si>
    <t>T0181</t>
  </si>
  <si>
    <t>T0176</t>
  </si>
  <si>
    <t>T0179</t>
  </si>
  <si>
    <t>T0180</t>
  </si>
  <si>
    <t>T0182</t>
  </si>
  <si>
    <t>T0174</t>
  </si>
  <si>
    <t>T0189</t>
  </si>
  <si>
    <t>T0185</t>
  </si>
  <si>
    <t>T0188</t>
  </si>
  <si>
    <t>T0183</t>
  </si>
  <si>
    <t>T0191</t>
  </si>
  <si>
    <t>T0184</t>
  </si>
  <si>
    <t>T0187</t>
  </si>
  <si>
    <t>T0193</t>
  </si>
  <si>
    <t>T0192</t>
  </si>
  <si>
    <t>T0190</t>
  </si>
  <si>
    <t>T0186</t>
  </si>
  <si>
    <t>T0200</t>
  </si>
  <si>
    <t>T0204</t>
  </si>
  <si>
    <t>T0199</t>
  </si>
  <si>
    <t>T0198</t>
  </si>
  <si>
    <t>T0203</t>
  </si>
  <si>
    <t>T0196</t>
  </si>
  <si>
    <t>T0195</t>
  </si>
  <si>
    <t>T0197</t>
  </si>
  <si>
    <t>T0201</t>
  </si>
  <si>
    <t>T0194</t>
  </si>
  <si>
    <t>T0202</t>
  </si>
  <si>
    <t>T0212</t>
  </si>
  <si>
    <t>T0209</t>
  </si>
  <si>
    <t>T0210</t>
  </si>
  <si>
    <t>T0206</t>
  </si>
  <si>
    <t>T0205</t>
  </si>
  <si>
    <t>T0207</t>
  </si>
  <si>
    <t>T0208</t>
  </si>
  <si>
    <t>T0211</t>
  </si>
  <si>
    <t>T0213</t>
  </si>
  <si>
    <t>T0220</t>
  </si>
  <si>
    <t>T0222</t>
  </si>
  <si>
    <t>T0216</t>
  </si>
  <si>
    <t>T0223</t>
  </si>
  <si>
    <t>T0219</t>
  </si>
  <si>
    <t>T0214</t>
  </si>
  <si>
    <t>T0221</t>
  </si>
  <si>
    <t>T0217</t>
  </si>
  <si>
    <t>T0224</t>
  </si>
  <si>
    <t>T0218</t>
  </si>
  <si>
    <t>T0215</t>
  </si>
  <si>
    <t>T0233</t>
  </si>
  <si>
    <t>T0225</t>
  </si>
  <si>
    <t>T0231</t>
  </si>
  <si>
    <t>T0229</t>
  </si>
  <si>
    <t>T0235</t>
  </si>
  <si>
    <t>T0236</t>
  </si>
  <si>
    <t>T0227</t>
  </si>
  <si>
    <t>T0226</t>
  </si>
  <si>
    <t>T0228</t>
  </si>
  <si>
    <t>T0230</t>
  </si>
  <si>
    <t>T0234</t>
  </si>
  <si>
    <t>T0232</t>
  </si>
  <si>
    <t>T0244</t>
  </si>
  <si>
    <t>T0237</t>
  </si>
  <si>
    <t>T0240</t>
  </si>
  <si>
    <t>T0238</t>
  </si>
  <si>
    <t>T0242</t>
  </si>
  <si>
    <t>T0239</t>
  </si>
  <si>
    <t>T0243</t>
  </si>
  <si>
    <t>T0241</t>
  </si>
  <si>
    <t>T0247</t>
  </si>
  <si>
    <t>T0248</t>
  </si>
  <si>
    <t>T0245</t>
  </si>
  <si>
    <t>T0251</t>
  </si>
  <si>
    <t>T0249</t>
  </si>
  <si>
    <t>T0250</t>
  </si>
  <si>
    <t>T0252</t>
  </si>
  <si>
    <t>T0246</t>
  </si>
  <si>
    <t>T0257</t>
  </si>
  <si>
    <t>T0258</t>
  </si>
  <si>
    <t>T0260</t>
  </si>
  <si>
    <t>T0259</t>
  </si>
  <si>
    <t>T0262</t>
  </si>
  <si>
    <t>T0256</t>
  </si>
  <si>
    <t>T0255</t>
  </si>
  <si>
    <t>T0254</t>
  </si>
  <si>
    <t>T0261</t>
  </si>
  <si>
    <t>T0253</t>
  </si>
  <si>
    <t>T0264</t>
  </si>
  <si>
    <t>T0263</t>
  </si>
  <si>
    <t>T0273</t>
  </si>
  <si>
    <t>T0271</t>
  </si>
  <si>
    <t>T0266</t>
  </si>
  <si>
    <t>T0270</t>
  </si>
  <si>
    <t>T0268</t>
  </si>
  <si>
    <t>T0267</t>
  </si>
  <si>
    <t>T0269</t>
  </si>
  <si>
    <t>T0265</t>
  </si>
  <si>
    <t>T0272</t>
  </si>
  <si>
    <t>T0274</t>
  </si>
  <si>
    <t>T0281</t>
  </si>
  <si>
    <t>T0280</t>
  </si>
  <si>
    <t>T0279</t>
  </si>
  <si>
    <t>T0275</t>
  </si>
  <si>
    <t>T0278</t>
  </si>
  <si>
    <t>T0277</t>
  </si>
  <si>
    <t>T0283</t>
  </si>
  <si>
    <t>T0276</t>
  </si>
  <si>
    <t>T0282</t>
  </si>
  <si>
    <t>T0284</t>
  </si>
  <si>
    <t>T0286</t>
  </si>
  <si>
    <t>T0290</t>
  </si>
  <si>
    <t>T0287</t>
  </si>
  <si>
    <t>T0288</t>
  </si>
  <si>
    <t>T0285</t>
  </si>
  <si>
    <t>T0289</t>
  </si>
  <si>
    <t>TotalIn</t>
  </si>
  <si>
    <t>TotalOut</t>
  </si>
  <si>
    <t>Balance</t>
  </si>
  <si>
    <t>Status</t>
  </si>
  <si>
    <t>ชุดข้อมูลจำลอง 30 วัน: ระบบบันทึกสินค้าเข้า–ออกด้วย Google Sheets + AppSheet</t>
  </si>
  <si>
    <t>Sheet</t>
  </si>
  <si>
    <t>วัตถุประสงค์</t>
  </si>
  <si>
    <t>Products</t>
  </si>
  <si>
    <t>Master Data รายการสินค้า หน่วย หมวดหมู่ และ Minimum Stock</t>
  </si>
  <si>
    <t>Employees</t>
  </si>
  <si>
    <t>Master Data รายชื่อพนักงาน</t>
  </si>
  <si>
    <t>Transactions</t>
  </si>
  <si>
    <t>ข้อมูลจำลอง 30 วัน จำนวน 290 รายการ สำหรับใช้สร้าง Form และทดสอบ AppSheet</t>
  </si>
  <si>
    <t>Stock</t>
  </si>
  <si>
    <t>สรุป Total In, Total Out, Balance และแจ้งเตือนเมื่อถึง Minimum Stock</t>
  </si>
  <si>
    <t>คู่มือการสอน</t>
  </si>
  <si>
    <t>แนวทางกิจกรรมและโจทย์สำหรับนักศึกษา</t>
  </si>
  <si>
    <t>กิจกรรม</t>
  </si>
  <si>
    <t>โจทย์</t>
  </si>
  <si>
    <t>1. Data Structure</t>
  </si>
  <si>
    <t>ให้นักศึกษาอธิบายความสัมพันธ์ Products → Transactions และ Employees → Transactions</t>
  </si>
  <si>
    <t>2. AppSheet Form</t>
  </si>
  <si>
    <t>สร้างฟอร์มบันทึกสินค้าเข้า/ออก โดยไม่ให้ผู้ใช้กรอก TransactionID และ DateTime เอง</t>
  </si>
  <si>
    <t>3. Reference</t>
  </si>
  <si>
    <t>ตั้ง Product และ Employee เป็น Ref เพื่อให้เลือกจาก Master Data</t>
  </si>
  <si>
    <t>4. Stock Analysis</t>
  </si>
  <si>
    <t>สร้างมุมมองแสดงสินค้าคงเหลือ และหาสินค้าที่ควรเติม</t>
  </si>
  <si>
    <t>5. Filter</t>
  </si>
  <si>
    <t>ค้นหารายการสินค้าออกของพนักงานแต่ละคนในช่วง 30 วัน</t>
  </si>
  <si>
    <t>6. Dashboard</t>
  </si>
  <si>
    <t>สร้าง Dashboard แสดง Stock คงเหลือและประวัติ Transactions ล่าสุด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</si>
</sst>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\ hh:mm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87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sactionsTable" displayName="TransactionsTable" ref="A1:G291" totalsRowShown="0">
  <tableColumns count="7">
    <tableColumn id="1" xr3:uid="{00000000-0010-0000-0200-000001000000}" name="TransactionID"/>
    <tableColumn id="2" xr3:uid="{00000000-0010-0000-0200-000002000000}" name="DateTime"/>
    <tableColumn id="3" xr3:uid="{00000000-0010-0000-0200-000003000000}" name="Action"/>
    <tableColumn id="4" xr3:uid="{00000000-0010-0000-0200-000004000000}" name="Product"/>
    <tableColumn id="5" xr3:uid="{00000000-0010-0000-0200-000005000000}" name="Quantity"/>
    <tableColumn id="6" xr3:uid="{00000000-0010-0000-0200-000006000000}" name="Employee"/>
    <tableColumn id="7" xr3:uid="{00000000-0010-0000-0200-000007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E11" totalsRowShown="0">
  <tableColumns count="5">
    <tableColumn id="1" xr3:uid="{00000000-0010-0000-0000-000001000000}" name="ProductID"/>
    <tableColumn id="2" xr3:uid="{00000000-0010-0000-0000-000002000000}" name="ProductName"/>
    <tableColumn id="3" xr3:uid="{00000000-0010-0000-0000-000003000000}" name="Unit"/>
    <tableColumn id="4" xr3:uid="{00000000-0010-0000-0000-000004000000}" name="Category"/>
    <tableColumn id="5" xr3:uid="{00000000-0010-0000-0000-000005000000}" name="MinimumSto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Table" displayName="EmployeesTable" ref="A1:B6" totalsRowShown="0">
  <tableColumns count="2">
    <tableColumn id="1" xr3:uid="{00000000-0010-0000-0100-000001000000}" name="EmployeeID"/>
    <tableColumn id="2" xr3:uid="{00000000-0010-0000-0100-000002000000}" name="Employee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ockTable" displayName="StockTable" ref="A1:H11" totalsRowShown="0">
  <tableColumns count="8">
    <tableColumn id="1" xr3:uid="{00000000-0010-0000-0300-000001000000}" name="ProductID"/>
    <tableColumn id="2" xr3:uid="{00000000-0010-0000-0300-000002000000}" name="ProductName"/>
    <tableColumn id="3" xr3:uid="{00000000-0010-0000-0300-000003000000}" name="Unit"/>
    <tableColumn id="4" xr3:uid="{00000000-0010-0000-0300-000004000000}" name="MinimumStock"/>
    <tableColumn id="5" xr3:uid="{00000000-0010-0000-0300-000005000000}" name="TotalIn"/>
    <tableColumn id="6" xr3:uid="{00000000-0010-0000-0300-000006000000}" name="TotalOut"/>
    <tableColumn id="7" xr3:uid="{00000000-0010-0000-0300-000007000000}" name="Balance"/>
    <tableColumn id="8" xr3:uid="{00000000-0010-0000-03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"/>
  <sheetViews>
    <sheetView tabSelected="1" topLeftCell="A259" workbookViewId="0">
      <selection activeCell="D18" sqref="D18"/>
    </sheetView>
  </sheetViews>
  <sheetFormatPr defaultRowHeight="13.8"/>
  <cols>
    <col min="1" max="1" width="15" customWidth="1"/>
    <col min="2" max="2" width="20" customWidth="1"/>
    <col min="3" max="3" width="12" customWidth="1"/>
    <col min="4" max="4" width="14" customWidth="1"/>
    <col min="5" max="5" width="11" customWidth="1"/>
    <col min="6" max="6" width="14" customWidth="1"/>
    <col min="7" max="7" width="24" customWidth="1"/>
  </cols>
  <sheetData>
    <row r="1" spans="1: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>
      <c r="A2" t="s">
        <v>51</v>
      </c>
      <c r="B2" s="2">
        <v>46235.333333333336</v>
      </c>
      <c r="C2" t="s">
        <v>52</v>
      </c>
      <c r="D2" t="s">
        <v>28</v>
      </c>
      <c r="E2" s="3">
        <v>79</v>
      </c>
      <c r="F2" t="s">
        <v>42</v>
      </c>
      <c r="G2" t="s">
        <v>53</v>
      </c>
    </row>
    <row r="3" spans="1:7">
      <c r="A3" t="s">
        <v>54</v>
      </c>
      <c r="B3" s="2">
        <v>46235.361111111109</v>
      </c>
      <c r="C3" t="s">
        <v>52</v>
      </c>
      <c r="D3" t="s">
        <v>9</v>
      </c>
      <c r="E3" s="3">
        <v>77</v>
      </c>
      <c r="F3" t="s">
        <v>38</v>
      </c>
      <c r="G3" t="s">
        <v>53</v>
      </c>
    </row>
    <row r="4" spans="1:7">
      <c r="A4" t="s">
        <v>55</v>
      </c>
      <c r="B4" s="2">
        <v>46235.381944444445</v>
      </c>
      <c r="C4" t="s">
        <v>52</v>
      </c>
      <c r="D4" t="s">
        <v>22</v>
      </c>
      <c r="E4" s="3">
        <v>67</v>
      </c>
      <c r="F4" t="s">
        <v>36</v>
      </c>
      <c r="G4" t="s">
        <v>53</v>
      </c>
    </row>
    <row r="5" spans="1:7">
      <c r="A5" t="s">
        <v>56</v>
      </c>
      <c r="B5" s="2">
        <v>46235.381944444445</v>
      </c>
      <c r="C5" t="s">
        <v>52</v>
      </c>
      <c r="D5" t="s">
        <v>26</v>
      </c>
      <c r="E5" s="3">
        <v>87</v>
      </c>
      <c r="F5" t="s">
        <v>36</v>
      </c>
      <c r="G5" t="s">
        <v>53</v>
      </c>
    </row>
    <row r="6" spans="1:7">
      <c r="A6" t="s">
        <v>57</v>
      </c>
      <c r="B6" s="2">
        <v>46235.395833333336</v>
      </c>
      <c r="C6" t="s">
        <v>52</v>
      </c>
      <c r="D6" t="s">
        <v>20</v>
      </c>
      <c r="E6" s="3">
        <v>59</v>
      </c>
      <c r="F6" t="s">
        <v>40</v>
      </c>
      <c r="G6" t="s">
        <v>53</v>
      </c>
    </row>
    <row r="7" spans="1:7">
      <c r="A7" t="s">
        <v>58</v>
      </c>
      <c r="B7" s="2">
        <v>46235.399305555555</v>
      </c>
      <c r="C7" t="s">
        <v>59</v>
      </c>
      <c r="D7" t="s">
        <v>28</v>
      </c>
      <c r="E7" s="3">
        <v>7</v>
      </c>
      <c r="F7" t="s">
        <v>40</v>
      </c>
      <c r="G7" t="s">
        <v>60</v>
      </c>
    </row>
    <row r="8" spans="1:7">
      <c r="A8" t="s">
        <v>61</v>
      </c>
      <c r="B8" s="2">
        <v>46235.413194444445</v>
      </c>
      <c r="C8" t="s">
        <v>59</v>
      </c>
      <c r="D8" t="s">
        <v>28</v>
      </c>
      <c r="E8" s="3">
        <v>1</v>
      </c>
      <c r="F8" t="s">
        <v>34</v>
      </c>
      <c r="G8" t="s">
        <v>62</v>
      </c>
    </row>
    <row r="9" spans="1:7">
      <c r="A9" t="s">
        <v>63</v>
      </c>
      <c r="B9" s="2">
        <v>46235.416666666664</v>
      </c>
      <c r="C9" t="s">
        <v>52</v>
      </c>
      <c r="D9" t="s">
        <v>5</v>
      </c>
      <c r="E9" s="3">
        <v>61</v>
      </c>
      <c r="F9" t="s">
        <v>36</v>
      </c>
      <c r="G9" t="s">
        <v>53</v>
      </c>
    </row>
    <row r="10" spans="1:7">
      <c r="A10" t="s">
        <v>64</v>
      </c>
      <c r="B10" s="2">
        <v>46235.416666666664</v>
      </c>
      <c r="C10" t="s">
        <v>52</v>
      </c>
      <c r="D10" t="s">
        <v>30</v>
      </c>
      <c r="E10" s="3">
        <v>71</v>
      </c>
      <c r="F10" t="s">
        <v>42</v>
      </c>
      <c r="G10" t="s">
        <v>53</v>
      </c>
    </row>
    <row r="11" spans="1:7">
      <c r="A11" t="s">
        <v>65</v>
      </c>
      <c r="B11" s="2">
        <v>46235.427083333336</v>
      </c>
      <c r="C11" t="s">
        <v>59</v>
      </c>
      <c r="D11" t="s">
        <v>5</v>
      </c>
      <c r="E11" s="3">
        <v>4</v>
      </c>
      <c r="F11" t="s">
        <v>36</v>
      </c>
      <c r="G11" t="s">
        <v>60</v>
      </c>
    </row>
    <row r="12" spans="1:7">
      <c r="A12" t="s">
        <v>66</v>
      </c>
      <c r="B12" s="2">
        <v>46235.4375</v>
      </c>
      <c r="C12" t="s">
        <v>52</v>
      </c>
      <c r="D12" t="s">
        <v>11</v>
      </c>
      <c r="E12" s="3">
        <v>84</v>
      </c>
      <c r="F12" t="s">
        <v>40</v>
      </c>
      <c r="G12" t="s">
        <v>53</v>
      </c>
    </row>
    <row r="13" spans="1:7">
      <c r="A13" t="s">
        <v>67</v>
      </c>
      <c r="B13" s="2">
        <v>46235.4375</v>
      </c>
      <c r="C13" t="s">
        <v>52</v>
      </c>
      <c r="D13" t="s">
        <v>14</v>
      </c>
      <c r="E13" s="3">
        <v>88</v>
      </c>
      <c r="F13" t="s">
        <v>38</v>
      </c>
      <c r="G13" t="s">
        <v>53</v>
      </c>
    </row>
    <row r="14" spans="1:7">
      <c r="A14" t="s">
        <v>68</v>
      </c>
      <c r="B14" s="2">
        <v>46235.444444444445</v>
      </c>
      <c r="C14" t="s">
        <v>52</v>
      </c>
      <c r="D14" t="s">
        <v>17</v>
      </c>
      <c r="E14" s="3">
        <v>83</v>
      </c>
      <c r="F14" t="s">
        <v>36</v>
      </c>
      <c r="G14" t="s">
        <v>53</v>
      </c>
    </row>
    <row r="15" spans="1:7">
      <c r="A15" t="s">
        <v>69</v>
      </c>
      <c r="B15" s="2">
        <v>46235.458333333336</v>
      </c>
      <c r="C15" t="s">
        <v>59</v>
      </c>
      <c r="D15" t="s">
        <v>11</v>
      </c>
      <c r="E15" s="3">
        <v>6</v>
      </c>
      <c r="F15" t="s">
        <v>40</v>
      </c>
      <c r="G15" t="s">
        <v>70</v>
      </c>
    </row>
    <row r="16" spans="1:7">
      <c r="A16" t="s">
        <v>71</v>
      </c>
      <c r="B16" s="2">
        <v>46235.493055555555</v>
      </c>
      <c r="C16" t="s">
        <v>59</v>
      </c>
      <c r="D16" t="s">
        <v>14</v>
      </c>
      <c r="E16" s="3">
        <v>3</v>
      </c>
      <c r="F16" t="s">
        <v>38</v>
      </c>
      <c r="G16" t="s">
        <v>70</v>
      </c>
    </row>
    <row r="17" spans="1:7">
      <c r="A17" t="s">
        <v>72</v>
      </c>
      <c r="B17" s="2">
        <v>46235.774305555555</v>
      </c>
      <c r="C17" t="s">
        <v>59</v>
      </c>
      <c r="D17" t="s">
        <v>17</v>
      </c>
      <c r="E17" s="3">
        <v>5</v>
      </c>
      <c r="F17" t="s">
        <v>40</v>
      </c>
      <c r="G17" t="s">
        <v>73</v>
      </c>
    </row>
    <row r="18" spans="1:7">
      <c r="A18" t="s">
        <v>74</v>
      </c>
      <c r="B18" s="2">
        <v>46235.78125</v>
      </c>
      <c r="C18" t="s">
        <v>59</v>
      </c>
      <c r="D18" t="s">
        <v>22</v>
      </c>
      <c r="E18" s="3">
        <v>7</v>
      </c>
      <c r="F18" t="s">
        <v>34</v>
      </c>
      <c r="G18" t="s">
        <v>62</v>
      </c>
    </row>
    <row r="19" spans="1:7">
      <c r="A19" t="s">
        <v>75</v>
      </c>
      <c r="B19" s="2">
        <v>46235.809027777781</v>
      </c>
      <c r="C19" t="s">
        <v>59</v>
      </c>
      <c r="D19" t="s">
        <v>17</v>
      </c>
      <c r="E19" s="3">
        <v>8</v>
      </c>
      <c r="F19" t="s">
        <v>38</v>
      </c>
      <c r="G19" t="s">
        <v>60</v>
      </c>
    </row>
    <row r="20" spans="1:7">
      <c r="A20" t="s">
        <v>76</v>
      </c>
      <c r="B20" s="2">
        <v>46236.336805555555</v>
      </c>
      <c r="C20" t="s">
        <v>59</v>
      </c>
      <c r="D20" t="s">
        <v>5</v>
      </c>
      <c r="E20" s="3">
        <v>5</v>
      </c>
      <c r="F20" t="s">
        <v>42</v>
      </c>
      <c r="G20" t="s">
        <v>62</v>
      </c>
    </row>
    <row r="21" spans="1:7">
      <c r="A21" t="s">
        <v>77</v>
      </c>
      <c r="B21" s="2">
        <v>46236.347222222219</v>
      </c>
      <c r="C21" t="s">
        <v>59</v>
      </c>
      <c r="D21" t="s">
        <v>14</v>
      </c>
      <c r="E21" s="3">
        <v>8</v>
      </c>
      <c r="F21" t="s">
        <v>34</v>
      </c>
      <c r="G21" t="s">
        <v>73</v>
      </c>
    </row>
    <row r="22" spans="1:7">
      <c r="A22" t="s">
        <v>78</v>
      </c>
      <c r="B22" s="2">
        <v>46236.378472222219</v>
      </c>
      <c r="C22" t="s">
        <v>52</v>
      </c>
      <c r="D22" t="s">
        <v>30</v>
      </c>
      <c r="E22" s="3">
        <v>33</v>
      </c>
      <c r="F22" t="s">
        <v>40</v>
      </c>
      <c r="G22" t="s">
        <v>79</v>
      </c>
    </row>
    <row r="23" spans="1:7">
      <c r="A23" t="s">
        <v>80</v>
      </c>
      <c r="B23" s="2">
        <v>46236.409722222219</v>
      </c>
      <c r="C23" t="s">
        <v>52</v>
      </c>
      <c r="D23" t="s">
        <v>9</v>
      </c>
      <c r="E23" s="3">
        <v>8</v>
      </c>
      <c r="F23" t="s">
        <v>36</v>
      </c>
      <c r="G23" t="s">
        <v>81</v>
      </c>
    </row>
    <row r="24" spans="1:7">
      <c r="A24" t="s">
        <v>82</v>
      </c>
      <c r="B24" s="2">
        <v>46236.458333333336</v>
      </c>
      <c r="C24" t="s">
        <v>59</v>
      </c>
      <c r="D24" t="s">
        <v>9</v>
      </c>
      <c r="E24" s="3">
        <v>5</v>
      </c>
      <c r="F24" t="s">
        <v>36</v>
      </c>
      <c r="G24" t="s">
        <v>70</v>
      </c>
    </row>
    <row r="25" spans="1:7">
      <c r="A25" t="s">
        <v>83</v>
      </c>
      <c r="B25" s="2">
        <v>46236.572916666664</v>
      </c>
      <c r="C25" t="s">
        <v>59</v>
      </c>
      <c r="D25" t="s">
        <v>17</v>
      </c>
      <c r="E25" s="3">
        <v>5</v>
      </c>
      <c r="F25" t="s">
        <v>42</v>
      </c>
      <c r="G25" t="s">
        <v>73</v>
      </c>
    </row>
    <row r="26" spans="1:7">
      <c r="A26" t="s">
        <v>84</v>
      </c>
      <c r="B26" s="2">
        <v>46236.65625</v>
      </c>
      <c r="C26" t="s">
        <v>59</v>
      </c>
      <c r="D26" t="s">
        <v>28</v>
      </c>
      <c r="E26" s="3">
        <v>1</v>
      </c>
      <c r="F26" t="s">
        <v>36</v>
      </c>
      <c r="G26" t="s">
        <v>70</v>
      </c>
    </row>
    <row r="27" spans="1:7">
      <c r="A27" t="s">
        <v>85</v>
      </c>
      <c r="B27" s="2">
        <v>46236.753472222219</v>
      </c>
      <c r="C27" t="s">
        <v>52</v>
      </c>
      <c r="D27" t="s">
        <v>11</v>
      </c>
      <c r="E27" s="3">
        <v>25</v>
      </c>
      <c r="F27" t="s">
        <v>40</v>
      </c>
      <c r="G27" t="s">
        <v>86</v>
      </c>
    </row>
    <row r="28" spans="1:7">
      <c r="A28" t="s">
        <v>87</v>
      </c>
      <c r="B28" s="2">
        <v>46236.819444444445</v>
      </c>
      <c r="C28" t="s">
        <v>52</v>
      </c>
      <c r="D28" t="s">
        <v>11</v>
      </c>
      <c r="E28" s="3">
        <v>23</v>
      </c>
      <c r="F28" t="s">
        <v>38</v>
      </c>
      <c r="G28" t="s">
        <v>81</v>
      </c>
    </row>
    <row r="29" spans="1:7">
      <c r="A29" t="s">
        <v>88</v>
      </c>
      <c r="B29" s="2">
        <v>46237.371527777781</v>
      </c>
      <c r="C29" t="s">
        <v>59</v>
      </c>
      <c r="D29" t="s">
        <v>22</v>
      </c>
      <c r="E29" s="3">
        <v>8</v>
      </c>
      <c r="F29" t="s">
        <v>36</v>
      </c>
      <c r="G29" t="s">
        <v>73</v>
      </c>
    </row>
    <row r="30" spans="1:7">
      <c r="A30" t="s">
        <v>89</v>
      </c>
      <c r="B30" s="2">
        <v>46237.378472222219</v>
      </c>
      <c r="C30" t="s">
        <v>52</v>
      </c>
      <c r="D30" t="s">
        <v>11</v>
      </c>
      <c r="E30" s="3">
        <v>16</v>
      </c>
      <c r="F30" t="s">
        <v>36</v>
      </c>
      <c r="G30" t="s">
        <v>86</v>
      </c>
    </row>
    <row r="31" spans="1:7">
      <c r="A31" t="s">
        <v>90</v>
      </c>
      <c r="B31" s="2">
        <v>46237.381944444445</v>
      </c>
      <c r="C31" t="s">
        <v>52</v>
      </c>
      <c r="D31" t="s">
        <v>11</v>
      </c>
      <c r="E31" s="3">
        <v>17</v>
      </c>
      <c r="F31" t="s">
        <v>42</v>
      </c>
      <c r="G31" t="s">
        <v>81</v>
      </c>
    </row>
    <row r="32" spans="1:7">
      <c r="A32" t="s">
        <v>91</v>
      </c>
      <c r="B32" s="2">
        <v>46237.548611111109</v>
      </c>
      <c r="C32" t="s">
        <v>59</v>
      </c>
      <c r="D32" t="s">
        <v>20</v>
      </c>
      <c r="E32" s="3">
        <v>5</v>
      </c>
      <c r="F32" t="s">
        <v>34</v>
      </c>
      <c r="G32" t="s">
        <v>73</v>
      </c>
    </row>
    <row r="33" spans="1:7">
      <c r="A33" t="s">
        <v>92</v>
      </c>
      <c r="B33" s="2">
        <v>46237.583333333336</v>
      </c>
      <c r="C33" t="s">
        <v>59</v>
      </c>
      <c r="D33" t="s">
        <v>20</v>
      </c>
      <c r="E33" s="3">
        <v>5</v>
      </c>
      <c r="F33" t="s">
        <v>36</v>
      </c>
      <c r="G33" t="s">
        <v>60</v>
      </c>
    </row>
    <row r="34" spans="1:7">
      <c r="A34" t="s">
        <v>93</v>
      </c>
      <c r="B34" s="2">
        <v>46237.649305555555</v>
      </c>
      <c r="C34" t="s">
        <v>59</v>
      </c>
      <c r="D34" t="s">
        <v>20</v>
      </c>
      <c r="E34" s="3">
        <v>6</v>
      </c>
      <c r="F34" t="s">
        <v>38</v>
      </c>
      <c r="G34" t="s">
        <v>73</v>
      </c>
    </row>
    <row r="35" spans="1:7">
      <c r="A35" t="s">
        <v>94</v>
      </c>
      <c r="B35" s="2">
        <v>46237.71875</v>
      </c>
      <c r="C35" t="s">
        <v>52</v>
      </c>
      <c r="D35" t="s">
        <v>20</v>
      </c>
      <c r="E35" s="3">
        <v>28</v>
      </c>
      <c r="F35" t="s">
        <v>40</v>
      </c>
      <c r="G35" t="s">
        <v>81</v>
      </c>
    </row>
    <row r="36" spans="1:7">
      <c r="A36" t="s">
        <v>95</v>
      </c>
      <c r="B36" s="2">
        <v>46237.788194444445</v>
      </c>
      <c r="C36" t="s">
        <v>52</v>
      </c>
      <c r="D36" t="s">
        <v>20</v>
      </c>
      <c r="E36" s="3">
        <v>19</v>
      </c>
      <c r="F36" t="s">
        <v>34</v>
      </c>
      <c r="G36" t="s">
        <v>79</v>
      </c>
    </row>
    <row r="37" spans="1:7">
      <c r="A37" t="s">
        <v>96</v>
      </c>
      <c r="B37" s="2">
        <v>46237.805555555555</v>
      </c>
      <c r="C37" t="s">
        <v>59</v>
      </c>
      <c r="D37" t="s">
        <v>17</v>
      </c>
      <c r="E37" s="3">
        <v>5</v>
      </c>
      <c r="F37" t="s">
        <v>40</v>
      </c>
      <c r="G37" t="s">
        <v>70</v>
      </c>
    </row>
    <row r="38" spans="1:7">
      <c r="A38" t="s">
        <v>97</v>
      </c>
      <c r="B38" s="2">
        <v>46238.381944444445</v>
      </c>
      <c r="C38" t="s">
        <v>52</v>
      </c>
      <c r="D38" t="s">
        <v>14</v>
      </c>
      <c r="E38" s="3">
        <v>10</v>
      </c>
      <c r="F38" t="s">
        <v>38</v>
      </c>
      <c r="G38" t="s">
        <v>86</v>
      </c>
    </row>
    <row r="39" spans="1:7">
      <c r="A39" t="s">
        <v>98</v>
      </c>
      <c r="B39" s="2">
        <v>46238.388888888891</v>
      </c>
      <c r="C39" t="s">
        <v>59</v>
      </c>
      <c r="D39" t="s">
        <v>20</v>
      </c>
      <c r="E39" s="3">
        <v>8</v>
      </c>
      <c r="F39" t="s">
        <v>36</v>
      </c>
      <c r="G39" t="s">
        <v>73</v>
      </c>
    </row>
    <row r="40" spans="1:7">
      <c r="A40" t="s">
        <v>99</v>
      </c>
      <c r="B40" s="2">
        <v>46238.409722222219</v>
      </c>
      <c r="C40" t="s">
        <v>59</v>
      </c>
      <c r="D40" t="s">
        <v>28</v>
      </c>
      <c r="E40" s="3">
        <v>2</v>
      </c>
      <c r="F40" t="s">
        <v>38</v>
      </c>
      <c r="G40" t="s">
        <v>62</v>
      </c>
    </row>
    <row r="41" spans="1:7">
      <c r="A41" t="s">
        <v>100</v>
      </c>
      <c r="B41" s="2">
        <v>46238.513888888891</v>
      </c>
      <c r="C41" t="s">
        <v>59</v>
      </c>
      <c r="D41" t="s">
        <v>17</v>
      </c>
      <c r="E41" s="3">
        <v>8</v>
      </c>
      <c r="F41" t="s">
        <v>38</v>
      </c>
      <c r="G41" t="s">
        <v>60</v>
      </c>
    </row>
    <row r="42" spans="1:7">
      <c r="A42" t="s">
        <v>101</v>
      </c>
      <c r="B42" s="2">
        <v>46238.527777777781</v>
      </c>
      <c r="C42" t="s">
        <v>59</v>
      </c>
      <c r="D42" t="s">
        <v>11</v>
      </c>
      <c r="E42" s="3">
        <v>8</v>
      </c>
      <c r="F42" t="s">
        <v>34</v>
      </c>
      <c r="G42" t="s">
        <v>70</v>
      </c>
    </row>
    <row r="43" spans="1:7">
      <c r="A43" t="s">
        <v>102</v>
      </c>
      <c r="B43" s="2">
        <v>46238.534722222219</v>
      </c>
      <c r="C43" t="s">
        <v>52</v>
      </c>
      <c r="D43" t="s">
        <v>5</v>
      </c>
      <c r="E43" s="3">
        <v>34</v>
      </c>
      <c r="F43" t="s">
        <v>40</v>
      </c>
      <c r="G43" t="s">
        <v>81</v>
      </c>
    </row>
    <row r="44" spans="1:7">
      <c r="A44" t="s">
        <v>103</v>
      </c>
      <c r="B44" s="2">
        <v>46238.576388888891</v>
      </c>
      <c r="C44" t="s">
        <v>52</v>
      </c>
      <c r="D44" t="s">
        <v>17</v>
      </c>
      <c r="E44" s="3">
        <v>22</v>
      </c>
      <c r="F44" t="s">
        <v>34</v>
      </c>
      <c r="G44" t="s">
        <v>86</v>
      </c>
    </row>
    <row r="45" spans="1:7">
      <c r="A45" t="s">
        <v>104</v>
      </c>
      <c r="B45" s="2">
        <v>46238.586805555555</v>
      </c>
      <c r="C45" t="s">
        <v>52</v>
      </c>
      <c r="D45" t="s">
        <v>9</v>
      </c>
      <c r="E45" s="3">
        <v>21</v>
      </c>
      <c r="F45" t="s">
        <v>36</v>
      </c>
      <c r="G45" t="s">
        <v>79</v>
      </c>
    </row>
    <row r="46" spans="1:7">
      <c r="A46" t="s">
        <v>105</v>
      </c>
      <c r="B46" s="2">
        <v>46238.597222222219</v>
      </c>
      <c r="C46" t="s">
        <v>52</v>
      </c>
      <c r="D46" t="s">
        <v>28</v>
      </c>
      <c r="E46" s="3">
        <v>11</v>
      </c>
      <c r="F46" t="s">
        <v>34</v>
      </c>
      <c r="G46" t="s">
        <v>86</v>
      </c>
    </row>
    <row r="47" spans="1:7">
      <c r="A47" t="s">
        <v>106</v>
      </c>
      <c r="B47" s="2">
        <v>46238.666666666664</v>
      </c>
      <c r="C47" t="s">
        <v>59</v>
      </c>
      <c r="D47" t="s">
        <v>28</v>
      </c>
      <c r="E47" s="3">
        <v>3</v>
      </c>
      <c r="F47" t="s">
        <v>40</v>
      </c>
      <c r="G47" t="s">
        <v>62</v>
      </c>
    </row>
    <row r="48" spans="1:7">
      <c r="A48" t="s">
        <v>107</v>
      </c>
      <c r="B48" s="2">
        <v>46238.677083333336</v>
      </c>
      <c r="C48" t="s">
        <v>59</v>
      </c>
      <c r="D48" t="s">
        <v>22</v>
      </c>
      <c r="E48" s="3">
        <v>8</v>
      </c>
      <c r="F48" t="s">
        <v>36</v>
      </c>
      <c r="G48" t="s">
        <v>62</v>
      </c>
    </row>
    <row r="49" spans="1:7">
      <c r="A49" t="s">
        <v>108</v>
      </c>
      <c r="B49" s="2">
        <v>46239.347222222219</v>
      </c>
      <c r="C49" t="s">
        <v>59</v>
      </c>
      <c r="D49" t="s">
        <v>22</v>
      </c>
      <c r="E49" s="3">
        <v>2</v>
      </c>
      <c r="F49" t="s">
        <v>38</v>
      </c>
      <c r="G49" t="s">
        <v>70</v>
      </c>
    </row>
    <row r="50" spans="1:7">
      <c r="A50" t="s">
        <v>109</v>
      </c>
      <c r="B50" s="2">
        <v>46239.368055555555</v>
      </c>
      <c r="C50" t="s">
        <v>59</v>
      </c>
      <c r="D50" t="s">
        <v>9</v>
      </c>
      <c r="E50" s="3">
        <v>1</v>
      </c>
      <c r="F50" t="s">
        <v>34</v>
      </c>
      <c r="G50" t="s">
        <v>62</v>
      </c>
    </row>
    <row r="51" spans="1:7">
      <c r="A51" t="s">
        <v>110</v>
      </c>
      <c r="B51" s="2">
        <v>46239.541666666664</v>
      </c>
      <c r="C51" t="s">
        <v>59</v>
      </c>
      <c r="D51" t="s">
        <v>11</v>
      </c>
      <c r="E51" s="3">
        <v>6</v>
      </c>
      <c r="F51" t="s">
        <v>40</v>
      </c>
      <c r="G51" t="s">
        <v>70</v>
      </c>
    </row>
    <row r="52" spans="1:7">
      <c r="A52" t="s">
        <v>111</v>
      </c>
      <c r="B52" s="2">
        <v>46239.569444444445</v>
      </c>
      <c r="C52" t="s">
        <v>59</v>
      </c>
      <c r="D52" t="s">
        <v>9</v>
      </c>
      <c r="E52" s="3">
        <v>2</v>
      </c>
      <c r="F52" t="s">
        <v>38</v>
      </c>
      <c r="G52" t="s">
        <v>62</v>
      </c>
    </row>
    <row r="53" spans="1:7">
      <c r="A53" t="s">
        <v>112</v>
      </c>
      <c r="B53" s="2">
        <v>46239.638888888891</v>
      </c>
      <c r="C53" t="s">
        <v>59</v>
      </c>
      <c r="D53" t="s">
        <v>11</v>
      </c>
      <c r="E53" s="3">
        <v>2</v>
      </c>
      <c r="F53" t="s">
        <v>40</v>
      </c>
      <c r="G53" t="s">
        <v>70</v>
      </c>
    </row>
    <row r="54" spans="1:7">
      <c r="A54" t="s">
        <v>113</v>
      </c>
      <c r="B54" s="2">
        <v>46239.673611111109</v>
      </c>
      <c r="C54" t="s">
        <v>52</v>
      </c>
      <c r="D54" t="s">
        <v>22</v>
      </c>
      <c r="E54" s="3">
        <v>19</v>
      </c>
      <c r="F54" t="s">
        <v>40</v>
      </c>
      <c r="G54" t="s">
        <v>81</v>
      </c>
    </row>
    <row r="55" spans="1:7">
      <c r="A55" t="s">
        <v>114</v>
      </c>
      <c r="B55" s="2">
        <v>46239.770833333336</v>
      </c>
      <c r="C55" t="s">
        <v>59</v>
      </c>
      <c r="D55" t="s">
        <v>9</v>
      </c>
      <c r="E55" s="3">
        <v>4</v>
      </c>
      <c r="F55" t="s">
        <v>36</v>
      </c>
      <c r="G55" t="s">
        <v>62</v>
      </c>
    </row>
    <row r="56" spans="1:7">
      <c r="A56" t="s">
        <v>115</v>
      </c>
      <c r="B56" s="2">
        <v>46239.826388888891</v>
      </c>
      <c r="C56" t="s">
        <v>59</v>
      </c>
      <c r="D56" t="s">
        <v>28</v>
      </c>
      <c r="E56" s="3">
        <v>4</v>
      </c>
      <c r="F56" t="s">
        <v>40</v>
      </c>
      <c r="G56" t="s">
        <v>73</v>
      </c>
    </row>
    <row r="57" spans="1:7">
      <c r="A57" t="s">
        <v>116</v>
      </c>
      <c r="B57" s="2">
        <v>46240.336805555555</v>
      </c>
      <c r="C57" t="s">
        <v>52</v>
      </c>
      <c r="D57" t="s">
        <v>22</v>
      </c>
      <c r="E57" s="3">
        <v>31</v>
      </c>
      <c r="F57" t="s">
        <v>36</v>
      </c>
      <c r="G57" t="s">
        <v>86</v>
      </c>
    </row>
    <row r="58" spans="1:7">
      <c r="A58" t="s">
        <v>117</v>
      </c>
      <c r="B58" s="2">
        <v>46240.444444444445</v>
      </c>
      <c r="C58" t="s">
        <v>59</v>
      </c>
      <c r="D58" t="s">
        <v>9</v>
      </c>
      <c r="E58" s="3">
        <v>3</v>
      </c>
      <c r="F58" t="s">
        <v>42</v>
      </c>
      <c r="G58" t="s">
        <v>73</v>
      </c>
    </row>
    <row r="59" spans="1:7">
      <c r="A59" t="s">
        <v>118</v>
      </c>
      <c r="B59" s="2">
        <v>46240.461805555555</v>
      </c>
      <c r="C59" t="s">
        <v>59</v>
      </c>
      <c r="D59" t="s">
        <v>9</v>
      </c>
      <c r="E59" s="3">
        <v>7</v>
      </c>
      <c r="F59" t="s">
        <v>34</v>
      </c>
      <c r="G59" t="s">
        <v>62</v>
      </c>
    </row>
    <row r="60" spans="1:7">
      <c r="A60" t="s">
        <v>119</v>
      </c>
      <c r="B60" s="2">
        <v>46240.5</v>
      </c>
      <c r="C60" t="s">
        <v>59</v>
      </c>
      <c r="D60" t="s">
        <v>14</v>
      </c>
      <c r="E60" s="3">
        <v>3</v>
      </c>
      <c r="F60" t="s">
        <v>36</v>
      </c>
      <c r="G60" t="s">
        <v>62</v>
      </c>
    </row>
    <row r="61" spans="1:7">
      <c r="A61" t="s">
        <v>120</v>
      </c>
      <c r="B61" s="2">
        <v>46240.53125</v>
      </c>
      <c r="C61" t="s">
        <v>59</v>
      </c>
      <c r="D61" t="s">
        <v>20</v>
      </c>
      <c r="E61" s="3">
        <v>2</v>
      </c>
      <c r="F61" t="s">
        <v>42</v>
      </c>
      <c r="G61" t="s">
        <v>73</v>
      </c>
    </row>
    <row r="62" spans="1:7">
      <c r="A62" t="s">
        <v>121</v>
      </c>
      <c r="B62" s="2">
        <v>46240.541666666664</v>
      </c>
      <c r="C62" t="s">
        <v>59</v>
      </c>
      <c r="D62" t="s">
        <v>22</v>
      </c>
      <c r="E62" s="3">
        <v>4</v>
      </c>
      <c r="F62" t="s">
        <v>34</v>
      </c>
      <c r="G62" t="s">
        <v>70</v>
      </c>
    </row>
    <row r="63" spans="1:7">
      <c r="A63" t="s">
        <v>122</v>
      </c>
      <c r="B63" s="2">
        <v>46240.545138888891</v>
      </c>
      <c r="C63" t="s">
        <v>59</v>
      </c>
      <c r="D63" t="s">
        <v>22</v>
      </c>
      <c r="E63" s="3">
        <v>8</v>
      </c>
      <c r="F63" t="s">
        <v>42</v>
      </c>
      <c r="G63" t="s">
        <v>73</v>
      </c>
    </row>
    <row r="64" spans="1:7">
      <c r="A64" t="s">
        <v>123</v>
      </c>
      <c r="B64" s="2">
        <v>46240.614583333336</v>
      </c>
      <c r="C64" t="s">
        <v>52</v>
      </c>
      <c r="D64" t="s">
        <v>14</v>
      </c>
      <c r="E64" s="3">
        <v>34</v>
      </c>
      <c r="F64" t="s">
        <v>42</v>
      </c>
      <c r="G64" t="s">
        <v>81</v>
      </c>
    </row>
    <row r="65" spans="1:7">
      <c r="A65" t="s">
        <v>124</v>
      </c>
      <c r="B65" s="2">
        <v>46240.652777777781</v>
      </c>
      <c r="C65" t="s">
        <v>59</v>
      </c>
      <c r="D65" t="s">
        <v>5</v>
      </c>
      <c r="E65" s="3">
        <v>7</v>
      </c>
      <c r="F65" t="s">
        <v>40</v>
      </c>
      <c r="G65" t="s">
        <v>73</v>
      </c>
    </row>
    <row r="66" spans="1:7">
      <c r="A66" t="s">
        <v>125</v>
      </c>
      <c r="B66" s="2">
        <v>46240.673611111109</v>
      </c>
      <c r="C66" t="s">
        <v>59</v>
      </c>
      <c r="D66" t="s">
        <v>14</v>
      </c>
      <c r="E66" s="3">
        <v>6</v>
      </c>
      <c r="F66" t="s">
        <v>36</v>
      </c>
      <c r="G66" t="s">
        <v>70</v>
      </c>
    </row>
    <row r="67" spans="1:7">
      <c r="A67" t="s">
        <v>126</v>
      </c>
      <c r="B67" s="2">
        <v>46240.684027777781</v>
      </c>
      <c r="C67" t="s">
        <v>59</v>
      </c>
      <c r="D67" t="s">
        <v>17</v>
      </c>
      <c r="E67" s="3">
        <v>4</v>
      </c>
      <c r="F67" t="s">
        <v>40</v>
      </c>
      <c r="G67" t="s">
        <v>62</v>
      </c>
    </row>
    <row r="68" spans="1:7">
      <c r="A68" t="s">
        <v>127</v>
      </c>
      <c r="B68" s="2">
        <v>46240.802083333336</v>
      </c>
      <c r="C68" t="s">
        <v>59</v>
      </c>
      <c r="D68" t="s">
        <v>30</v>
      </c>
      <c r="E68" s="3">
        <v>8</v>
      </c>
      <c r="F68" t="s">
        <v>42</v>
      </c>
      <c r="G68" t="s">
        <v>62</v>
      </c>
    </row>
    <row r="69" spans="1:7">
      <c r="A69" t="s">
        <v>128</v>
      </c>
      <c r="B69" s="2">
        <v>46241.368055555555</v>
      </c>
      <c r="C69" t="s">
        <v>59</v>
      </c>
      <c r="D69" t="s">
        <v>30</v>
      </c>
      <c r="E69" s="3">
        <v>4</v>
      </c>
      <c r="F69" t="s">
        <v>36</v>
      </c>
      <c r="G69" t="s">
        <v>70</v>
      </c>
    </row>
    <row r="70" spans="1:7">
      <c r="A70" t="s">
        <v>129</v>
      </c>
      <c r="B70" s="2">
        <v>46241.395833333336</v>
      </c>
      <c r="C70" t="s">
        <v>59</v>
      </c>
      <c r="D70" t="s">
        <v>30</v>
      </c>
      <c r="E70" s="3">
        <v>4</v>
      </c>
      <c r="F70" t="s">
        <v>40</v>
      </c>
      <c r="G70" t="s">
        <v>60</v>
      </c>
    </row>
    <row r="71" spans="1:7">
      <c r="A71" t="s">
        <v>130</v>
      </c>
      <c r="B71" s="2">
        <v>46241.5</v>
      </c>
      <c r="C71" t="s">
        <v>59</v>
      </c>
      <c r="D71" t="s">
        <v>20</v>
      </c>
      <c r="E71" s="3">
        <v>8</v>
      </c>
      <c r="F71" t="s">
        <v>36</v>
      </c>
      <c r="G71" t="s">
        <v>60</v>
      </c>
    </row>
    <row r="72" spans="1:7">
      <c r="A72" t="s">
        <v>131</v>
      </c>
      <c r="B72" s="2">
        <v>46241.5625</v>
      </c>
      <c r="C72" t="s">
        <v>59</v>
      </c>
      <c r="D72" t="s">
        <v>11</v>
      </c>
      <c r="E72" s="3">
        <v>6</v>
      </c>
      <c r="F72" t="s">
        <v>40</v>
      </c>
      <c r="G72" t="s">
        <v>60</v>
      </c>
    </row>
    <row r="73" spans="1:7">
      <c r="A73" t="s">
        <v>132</v>
      </c>
      <c r="B73" s="2">
        <v>46241.652777777781</v>
      </c>
      <c r="C73" t="s">
        <v>59</v>
      </c>
      <c r="D73" t="s">
        <v>28</v>
      </c>
      <c r="E73" s="3">
        <v>2</v>
      </c>
      <c r="F73" t="s">
        <v>38</v>
      </c>
      <c r="G73" t="s">
        <v>70</v>
      </c>
    </row>
    <row r="74" spans="1:7">
      <c r="A74" t="s">
        <v>133</v>
      </c>
      <c r="B74" s="2">
        <v>46241.770833333336</v>
      </c>
      <c r="C74" t="s">
        <v>52</v>
      </c>
      <c r="D74" t="s">
        <v>17</v>
      </c>
      <c r="E74" s="3">
        <v>35</v>
      </c>
      <c r="F74" t="s">
        <v>38</v>
      </c>
      <c r="G74" t="s">
        <v>81</v>
      </c>
    </row>
    <row r="75" spans="1:7">
      <c r="A75" t="s">
        <v>134</v>
      </c>
      <c r="B75" s="2">
        <v>46241.777777777781</v>
      </c>
      <c r="C75" t="s">
        <v>59</v>
      </c>
      <c r="D75" t="s">
        <v>28</v>
      </c>
      <c r="E75" s="3">
        <v>4</v>
      </c>
      <c r="F75" t="s">
        <v>42</v>
      </c>
      <c r="G75" t="s">
        <v>73</v>
      </c>
    </row>
    <row r="76" spans="1:7">
      <c r="A76" t="s">
        <v>135</v>
      </c>
      <c r="B76" s="2">
        <v>46242.347222222219</v>
      </c>
      <c r="C76" t="s">
        <v>59</v>
      </c>
      <c r="D76" t="s">
        <v>17</v>
      </c>
      <c r="E76" s="3">
        <v>1</v>
      </c>
      <c r="F76" t="s">
        <v>42</v>
      </c>
      <c r="G76" t="s">
        <v>70</v>
      </c>
    </row>
    <row r="77" spans="1:7">
      <c r="A77" t="s">
        <v>136</v>
      </c>
      <c r="B77" s="2">
        <v>46242.447916666664</v>
      </c>
      <c r="C77" t="s">
        <v>59</v>
      </c>
      <c r="D77" t="s">
        <v>5</v>
      </c>
      <c r="E77" s="3">
        <v>5</v>
      </c>
      <c r="F77" t="s">
        <v>40</v>
      </c>
      <c r="G77" t="s">
        <v>70</v>
      </c>
    </row>
    <row r="78" spans="1:7">
      <c r="A78" t="s">
        <v>137</v>
      </c>
      <c r="B78" s="2">
        <v>46242.461805555555</v>
      </c>
      <c r="C78" t="s">
        <v>59</v>
      </c>
      <c r="D78" t="s">
        <v>9</v>
      </c>
      <c r="E78" s="3">
        <v>1</v>
      </c>
      <c r="F78" t="s">
        <v>38</v>
      </c>
      <c r="G78" t="s">
        <v>62</v>
      </c>
    </row>
    <row r="79" spans="1:7">
      <c r="A79" t="s">
        <v>138</v>
      </c>
      <c r="B79" s="2">
        <v>46242.5</v>
      </c>
      <c r="C79" t="s">
        <v>52</v>
      </c>
      <c r="D79" t="s">
        <v>5</v>
      </c>
      <c r="E79" s="3">
        <v>34</v>
      </c>
      <c r="F79" t="s">
        <v>40</v>
      </c>
      <c r="G79" t="s">
        <v>79</v>
      </c>
    </row>
    <row r="80" spans="1:7">
      <c r="A80" t="s">
        <v>139</v>
      </c>
      <c r="B80" s="2">
        <v>46242.597222222219</v>
      </c>
      <c r="C80" t="s">
        <v>52</v>
      </c>
      <c r="D80" t="s">
        <v>9</v>
      </c>
      <c r="E80" s="3">
        <v>14</v>
      </c>
      <c r="F80" t="s">
        <v>40</v>
      </c>
      <c r="G80" t="s">
        <v>79</v>
      </c>
    </row>
    <row r="81" spans="1:7">
      <c r="A81" t="s">
        <v>140</v>
      </c>
      <c r="B81" s="2">
        <v>46242.673611111109</v>
      </c>
      <c r="C81" t="s">
        <v>59</v>
      </c>
      <c r="D81" t="s">
        <v>26</v>
      </c>
      <c r="E81" s="3">
        <v>3</v>
      </c>
      <c r="F81" t="s">
        <v>40</v>
      </c>
      <c r="G81" t="s">
        <v>70</v>
      </c>
    </row>
    <row r="82" spans="1:7">
      <c r="A82" t="s">
        <v>141</v>
      </c>
      <c r="B82" s="2">
        <v>46242.822916666664</v>
      </c>
      <c r="C82" t="s">
        <v>59</v>
      </c>
      <c r="D82" t="s">
        <v>26</v>
      </c>
      <c r="E82" s="3">
        <v>5</v>
      </c>
      <c r="F82" t="s">
        <v>38</v>
      </c>
      <c r="G82" t="s">
        <v>73</v>
      </c>
    </row>
    <row r="83" spans="1:7">
      <c r="A83" t="s">
        <v>142</v>
      </c>
      <c r="B83" s="2">
        <v>46243.354166666664</v>
      </c>
      <c r="C83" t="s">
        <v>59</v>
      </c>
      <c r="D83" t="s">
        <v>28</v>
      </c>
      <c r="E83" s="3">
        <v>3</v>
      </c>
      <c r="F83" t="s">
        <v>34</v>
      </c>
      <c r="G83" t="s">
        <v>62</v>
      </c>
    </row>
    <row r="84" spans="1:7">
      <c r="A84" t="s">
        <v>143</v>
      </c>
      <c r="B84" s="2">
        <v>46243.371527777781</v>
      </c>
      <c r="C84" t="s">
        <v>52</v>
      </c>
      <c r="D84" t="s">
        <v>11</v>
      </c>
      <c r="E84" s="3">
        <v>33</v>
      </c>
      <c r="F84" t="s">
        <v>38</v>
      </c>
      <c r="G84" t="s">
        <v>79</v>
      </c>
    </row>
    <row r="85" spans="1:7">
      <c r="A85" t="s">
        <v>144</v>
      </c>
      <c r="B85" s="2">
        <v>46243.378472222219</v>
      </c>
      <c r="C85" t="s">
        <v>52</v>
      </c>
      <c r="D85" t="s">
        <v>5</v>
      </c>
      <c r="E85" s="3">
        <v>33</v>
      </c>
      <c r="F85" t="s">
        <v>36</v>
      </c>
      <c r="G85" t="s">
        <v>86</v>
      </c>
    </row>
    <row r="86" spans="1:7">
      <c r="A86" t="s">
        <v>145</v>
      </c>
      <c r="B86" s="2">
        <v>46243.482638888891</v>
      </c>
      <c r="C86" t="s">
        <v>52</v>
      </c>
      <c r="D86" t="s">
        <v>22</v>
      </c>
      <c r="E86" s="3">
        <v>31</v>
      </c>
      <c r="F86" t="s">
        <v>38</v>
      </c>
      <c r="G86" t="s">
        <v>81</v>
      </c>
    </row>
    <row r="87" spans="1:7">
      <c r="A87" t="s">
        <v>146</v>
      </c>
      <c r="B87" s="2">
        <v>46243.506944444445</v>
      </c>
      <c r="C87" t="s">
        <v>59</v>
      </c>
      <c r="D87" t="s">
        <v>20</v>
      </c>
      <c r="E87" s="3">
        <v>7</v>
      </c>
      <c r="F87" t="s">
        <v>36</v>
      </c>
      <c r="G87" t="s">
        <v>70</v>
      </c>
    </row>
    <row r="88" spans="1:7">
      <c r="A88" t="s">
        <v>147</v>
      </c>
      <c r="B88" s="2">
        <v>46243.527777777781</v>
      </c>
      <c r="C88" t="s">
        <v>59</v>
      </c>
      <c r="D88" t="s">
        <v>11</v>
      </c>
      <c r="E88" s="3">
        <v>8</v>
      </c>
      <c r="F88" t="s">
        <v>38</v>
      </c>
      <c r="G88" t="s">
        <v>73</v>
      </c>
    </row>
    <row r="89" spans="1:7">
      <c r="A89" t="s">
        <v>148</v>
      </c>
      <c r="B89" s="2">
        <v>46243.59375</v>
      </c>
      <c r="C89" t="s">
        <v>59</v>
      </c>
      <c r="D89" t="s">
        <v>28</v>
      </c>
      <c r="E89" s="3">
        <v>2</v>
      </c>
      <c r="F89" t="s">
        <v>36</v>
      </c>
      <c r="G89" t="s">
        <v>60</v>
      </c>
    </row>
    <row r="90" spans="1:7">
      <c r="A90" t="s">
        <v>149</v>
      </c>
      <c r="B90" s="2">
        <v>46243.638888888891</v>
      </c>
      <c r="C90" t="s">
        <v>59</v>
      </c>
      <c r="D90" t="s">
        <v>30</v>
      </c>
      <c r="E90" s="3">
        <v>5</v>
      </c>
      <c r="F90" t="s">
        <v>36</v>
      </c>
      <c r="G90" t="s">
        <v>62</v>
      </c>
    </row>
    <row r="91" spans="1:7">
      <c r="A91" t="s">
        <v>150</v>
      </c>
      <c r="B91" s="2">
        <v>46243.642361111109</v>
      </c>
      <c r="C91" t="s">
        <v>59</v>
      </c>
      <c r="D91" t="s">
        <v>28</v>
      </c>
      <c r="E91" s="3">
        <v>5</v>
      </c>
      <c r="F91" t="s">
        <v>34</v>
      </c>
      <c r="G91" t="s">
        <v>70</v>
      </c>
    </row>
    <row r="92" spans="1:7">
      <c r="A92" t="s">
        <v>151</v>
      </c>
      <c r="B92" s="2">
        <v>46243.680555555555</v>
      </c>
      <c r="C92" t="s">
        <v>59</v>
      </c>
      <c r="D92" t="s">
        <v>22</v>
      </c>
      <c r="E92" s="3">
        <v>4</v>
      </c>
      <c r="F92" t="s">
        <v>42</v>
      </c>
      <c r="G92" t="s">
        <v>60</v>
      </c>
    </row>
    <row r="93" spans="1:7">
      <c r="A93" t="s">
        <v>152</v>
      </c>
      <c r="B93" s="2">
        <v>46243.694444444445</v>
      </c>
      <c r="C93" t="s">
        <v>52</v>
      </c>
      <c r="D93" t="s">
        <v>22</v>
      </c>
      <c r="E93" s="3">
        <v>26</v>
      </c>
      <c r="F93" t="s">
        <v>34</v>
      </c>
      <c r="G93" t="s">
        <v>79</v>
      </c>
    </row>
    <row r="94" spans="1:7">
      <c r="A94" t="s">
        <v>153</v>
      </c>
      <c r="B94" s="2">
        <v>46244.361111111109</v>
      </c>
      <c r="C94" t="s">
        <v>59</v>
      </c>
      <c r="D94" t="s">
        <v>26</v>
      </c>
      <c r="E94" s="3">
        <v>3</v>
      </c>
      <c r="F94" t="s">
        <v>34</v>
      </c>
      <c r="G94" t="s">
        <v>73</v>
      </c>
    </row>
    <row r="95" spans="1:7">
      <c r="A95" t="s">
        <v>154</v>
      </c>
      <c r="B95" s="2">
        <v>46244.395833333336</v>
      </c>
      <c r="C95" t="s">
        <v>59</v>
      </c>
      <c r="D95" t="s">
        <v>30</v>
      </c>
      <c r="E95" s="3">
        <v>5</v>
      </c>
      <c r="F95" t="s">
        <v>36</v>
      </c>
      <c r="G95" t="s">
        <v>62</v>
      </c>
    </row>
    <row r="96" spans="1:7">
      <c r="A96" t="s">
        <v>155</v>
      </c>
      <c r="B96" s="2">
        <v>46244.489583333336</v>
      </c>
      <c r="C96" t="s">
        <v>59</v>
      </c>
      <c r="D96" t="s">
        <v>20</v>
      </c>
      <c r="E96" s="3">
        <v>4</v>
      </c>
      <c r="F96" t="s">
        <v>40</v>
      </c>
      <c r="G96" t="s">
        <v>62</v>
      </c>
    </row>
    <row r="97" spans="1:7">
      <c r="A97" t="s">
        <v>156</v>
      </c>
      <c r="B97" s="2">
        <v>46244.493055555555</v>
      </c>
      <c r="C97" t="s">
        <v>59</v>
      </c>
      <c r="D97" t="s">
        <v>5</v>
      </c>
      <c r="E97" s="3">
        <v>4</v>
      </c>
      <c r="F97" t="s">
        <v>42</v>
      </c>
      <c r="G97" t="s">
        <v>70</v>
      </c>
    </row>
    <row r="98" spans="1:7">
      <c r="A98" t="s">
        <v>157</v>
      </c>
      <c r="B98" s="2">
        <v>46244.590277777781</v>
      </c>
      <c r="C98" t="s">
        <v>59</v>
      </c>
      <c r="D98" t="s">
        <v>17</v>
      </c>
      <c r="E98" s="3">
        <v>8</v>
      </c>
      <c r="F98" t="s">
        <v>38</v>
      </c>
      <c r="G98" t="s">
        <v>73</v>
      </c>
    </row>
    <row r="99" spans="1:7">
      <c r="A99" t="s">
        <v>158</v>
      </c>
      <c r="B99" s="2">
        <v>46244.670138888891</v>
      </c>
      <c r="C99" t="s">
        <v>52</v>
      </c>
      <c r="D99" t="s">
        <v>30</v>
      </c>
      <c r="E99" s="3">
        <v>34</v>
      </c>
      <c r="F99" t="s">
        <v>40</v>
      </c>
      <c r="G99" t="s">
        <v>79</v>
      </c>
    </row>
    <row r="100" spans="1:7">
      <c r="A100" t="s">
        <v>159</v>
      </c>
      <c r="B100" s="2">
        <v>46244.708333333336</v>
      </c>
      <c r="C100" t="s">
        <v>52</v>
      </c>
      <c r="D100" t="s">
        <v>11</v>
      </c>
      <c r="E100" s="3">
        <v>14</v>
      </c>
      <c r="F100" t="s">
        <v>36</v>
      </c>
      <c r="G100" t="s">
        <v>79</v>
      </c>
    </row>
    <row r="101" spans="1:7">
      <c r="A101" t="s">
        <v>160</v>
      </c>
      <c r="B101" s="2">
        <v>46244.729166666664</v>
      </c>
      <c r="C101" t="s">
        <v>52</v>
      </c>
      <c r="D101" t="s">
        <v>20</v>
      </c>
      <c r="E101" s="3">
        <v>14</v>
      </c>
      <c r="F101" t="s">
        <v>34</v>
      </c>
      <c r="G101" t="s">
        <v>79</v>
      </c>
    </row>
    <row r="102" spans="1:7">
      <c r="A102" t="s">
        <v>161</v>
      </c>
      <c r="B102" s="2">
        <v>46244.774305555555</v>
      </c>
      <c r="C102" t="s">
        <v>52</v>
      </c>
      <c r="D102" t="s">
        <v>26</v>
      </c>
      <c r="E102" s="3">
        <v>28</v>
      </c>
      <c r="F102" t="s">
        <v>36</v>
      </c>
      <c r="G102" t="s">
        <v>86</v>
      </c>
    </row>
    <row r="103" spans="1:7">
      <c r="A103" t="s">
        <v>162</v>
      </c>
      <c r="B103" s="2">
        <v>46245.454861111109</v>
      </c>
      <c r="C103" t="s">
        <v>59</v>
      </c>
      <c r="D103" t="s">
        <v>5</v>
      </c>
      <c r="E103" s="3">
        <v>8</v>
      </c>
      <c r="F103" t="s">
        <v>42</v>
      </c>
      <c r="G103" t="s">
        <v>62</v>
      </c>
    </row>
    <row r="104" spans="1:7">
      <c r="A104" t="s">
        <v>163</v>
      </c>
      <c r="B104" s="2">
        <v>46245.506944444445</v>
      </c>
      <c r="C104" t="s">
        <v>59</v>
      </c>
      <c r="D104" t="s">
        <v>28</v>
      </c>
      <c r="E104" s="3">
        <v>1</v>
      </c>
      <c r="F104" t="s">
        <v>34</v>
      </c>
      <c r="G104" t="s">
        <v>73</v>
      </c>
    </row>
    <row r="105" spans="1:7">
      <c r="A105" t="s">
        <v>164</v>
      </c>
      <c r="B105" s="2">
        <v>46245.555555555555</v>
      </c>
      <c r="C105" t="s">
        <v>52</v>
      </c>
      <c r="D105" t="s">
        <v>9</v>
      </c>
      <c r="E105" s="3">
        <v>31</v>
      </c>
      <c r="F105" t="s">
        <v>42</v>
      </c>
      <c r="G105" t="s">
        <v>79</v>
      </c>
    </row>
    <row r="106" spans="1:7">
      <c r="A106" t="s">
        <v>165</v>
      </c>
      <c r="B106" s="2">
        <v>46245.565972222219</v>
      </c>
      <c r="C106" t="s">
        <v>59</v>
      </c>
      <c r="D106" t="s">
        <v>28</v>
      </c>
      <c r="E106" s="3">
        <v>6</v>
      </c>
      <c r="F106" t="s">
        <v>40</v>
      </c>
      <c r="G106" t="s">
        <v>73</v>
      </c>
    </row>
    <row r="107" spans="1:7">
      <c r="A107" t="s">
        <v>166</v>
      </c>
      <c r="B107" s="2">
        <v>46245.649305555555</v>
      </c>
      <c r="C107" t="s">
        <v>59</v>
      </c>
      <c r="D107" t="s">
        <v>14</v>
      </c>
      <c r="E107" s="3">
        <v>4</v>
      </c>
      <c r="F107" t="s">
        <v>38</v>
      </c>
      <c r="G107" t="s">
        <v>62</v>
      </c>
    </row>
    <row r="108" spans="1:7">
      <c r="A108" t="s">
        <v>167</v>
      </c>
      <c r="B108" s="2">
        <v>46245.677083333336</v>
      </c>
      <c r="C108" t="s">
        <v>59</v>
      </c>
      <c r="D108" t="s">
        <v>22</v>
      </c>
      <c r="E108" s="3">
        <v>2</v>
      </c>
      <c r="F108" t="s">
        <v>34</v>
      </c>
      <c r="G108" t="s">
        <v>62</v>
      </c>
    </row>
    <row r="109" spans="1:7">
      <c r="A109" t="s">
        <v>168</v>
      </c>
      <c r="B109" s="2">
        <v>46245.78125</v>
      </c>
      <c r="C109" t="s">
        <v>52</v>
      </c>
      <c r="D109" t="s">
        <v>9</v>
      </c>
      <c r="E109" s="3">
        <v>30</v>
      </c>
      <c r="F109" t="s">
        <v>42</v>
      </c>
      <c r="G109" t="s">
        <v>79</v>
      </c>
    </row>
    <row r="110" spans="1:7">
      <c r="A110" t="s">
        <v>169</v>
      </c>
      <c r="B110" s="2">
        <v>46246.375</v>
      </c>
      <c r="C110" t="s">
        <v>59</v>
      </c>
      <c r="D110" t="s">
        <v>11</v>
      </c>
      <c r="E110" s="3">
        <v>6</v>
      </c>
      <c r="F110" t="s">
        <v>42</v>
      </c>
      <c r="G110" t="s">
        <v>60</v>
      </c>
    </row>
    <row r="111" spans="1:7">
      <c r="A111" t="s">
        <v>170</v>
      </c>
      <c r="B111" s="2">
        <v>46246.444444444445</v>
      </c>
      <c r="C111" t="s">
        <v>52</v>
      </c>
      <c r="D111" t="s">
        <v>22</v>
      </c>
      <c r="E111" s="3">
        <v>20</v>
      </c>
      <c r="F111" t="s">
        <v>36</v>
      </c>
      <c r="G111" t="s">
        <v>79</v>
      </c>
    </row>
    <row r="112" spans="1:7">
      <c r="A112" t="s">
        <v>171</v>
      </c>
      <c r="B112" s="2">
        <v>46246.538194444445</v>
      </c>
      <c r="C112" t="s">
        <v>59</v>
      </c>
      <c r="D112" t="s">
        <v>30</v>
      </c>
      <c r="E112" s="3">
        <v>6</v>
      </c>
      <c r="F112" t="s">
        <v>34</v>
      </c>
      <c r="G112" t="s">
        <v>70</v>
      </c>
    </row>
    <row r="113" spans="1:7">
      <c r="A113" t="s">
        <v>172</v>
      </c>
      <c r="B113" s="2">
        <v>46246.559027777781</v>
      </c>
      <c r="C113" t="s">
        <v>59</v>
      </c>
      <c r="D113" t="s">
        <v>28</v>
      </c>
      <c r="E113" s="3">
        <v>4</v>
      </c>
      <c r="F113" t="s">
        <v>34</v>
      </c>
      <c r="G113" t="s">
        <v>70</v>
      </c>
    </row>
    <row r="114" spans="1:7">
      <c r="A114" t="s">
        <v>173</v>
      </c>
      <c r="B114" s="2">
        <v>46246.579861111109</v>
      </c>
      <c r="C114" t="s">
        <v>59</v>
      </c>
      <c r="D114" t="s">
        <v>28</v>
      </c>
      <c r="E114" s="3">
        <v>5</v>
      </c>
      <c r="F114" t="s">
        <v>38</v>
      </c>
      <c r="G114" t="s">
        <v>60</v>
      </c>
    </row>
    <row r="115" spans="1:7">
      <c r="A115" t="s">
        <v>174</v>
      </c>
      <c r="B115" s="2">
        <v>46246.621527777781</v>
      </c>
      <c r="C115" t="s">
        <v>59</v>
      </c>
      <c r="D115" t="s">
        <v>5</v>
      </c>
      <c r="E115" s="3">
        <v>7</v>
      </c>
      <c r="F115" t="s">
        <v>34</v>
      </c>
      <c r="G115" t="s">
        <v>73</v>
      </c>
    </row>
    <row r="116" spans="1:7">
      <c r="A116" t="s">
        <v>175</v>
      </c>
      <c r="B116" s="2">
        <v>46246.743055555555</v>
      </c>
      <c r="C116" t="s">
        <v>59</v>
      </c>
      <c r="D116" t="s">
        <v>22</v>
      </c>
      <c r="E116" s="3">
        <v>2</v>
      </c>
      <c r="F116" t="s">
        <v>34</v>
      </c>
      <c r="G116" t="s">
        <v>60</v>
      </c>
    </row>
    <row r="117" spans="1:7">
      <c r="A117" t="s">
        <v>176</v>
      </c>
      <c r="B117" s="2">
        <v>46246.763888888891</v>
      </c>
      <c r="C117" t="s">
        <v>52</v>
      </c>
      <c r="D117" t="s">
        <v>17</v>
      </c>
      <c r="E117" s="3">
        <v>18</v>
      </c>
      <c r="F117" t="s">
        <v>40</v>
      </c>
      <c r="G117" t="s">
        <v>86</v>
      </c>
    </row>
    <row r="118" spans="1:7">
      <c r="A118" t="s">
        <v>177</v>
      </c>
      <c r="B118" s="2">
        <v>46247.333333333336</v>
      </c>
      <c r="C118" t="s">
        <v>59</v>
      </c>
      <c r="D118" t="s">
        <v>22</v>
      </c>
      <c r="E118" s="3">
        <v>5</v>
      </c>
      <c r="F118" t="s">
        <v>36</v>
      </c>
      <c r="G118" t="s">
        <v>60</v>
      </c>
    </row>
    <row r="119" spans="1:7">
      <c r="A119" t="s">
        <v>178</v>
      </c>
      <c r="B119" s="2">
        <v>46247.375</v>
      </c>
      <c r="C119" t="s">
        <v>52</v>
      </c>
      <c r="D119" t="s">
        <v>14</v>
      </c>
      <c r="E119" s="3">
        <v>22</v>
      </c>
      <c r="F119" t="s">
        <v>34</v>
      </c>
      <c r="G119" t="s">
        <v>86</v>
      </c>
    </row>
    <row r="120" spans="1:7">
      <c r="A120" t="s">
        <v>179</v>
      </c>
      <c r="B120" s="2">
        <v>46247.388888888891</v>
      </c>
      <c r="C120" t="s">
        <v>52</v>
      </c>
      <c r="D120" t="s">
        <v>11</v>
      </c>
      <c r="E120" s="3">
        <v>25</v>
      </c>
      <c r="F120" t="s">
        <v>34</v>
      </c>
      <c r="G120" t="s">
        <v>81</v>
      </c>
    </row>
    <row r="121" spans="1:7">
      <c r="A121" t="s">
        <v>180</v>
      </c>
      <c r="B121" s="2">
        <v>46247.454861111109</v>
      </c>
      <c r="C121" t="s">
        <v>52</v>
      </c>
      <c r="D121" t="s">
        <v>9</v>
      </c>
      <c r="E121" s="3">
        <v>32</v>
      </c>
      <c r="F121" t="s">
        <v>34</v>
      </c>
      <c r="G121" t="s">
        <v>79</v>
      </c>
    </row>
    <row r="122" spans="1:7">
      <c r="A122" t="s">
        <v>181</v>
      </c>
      <c r="B122" s="2">
        <v>46247.458333333336</v>
      </c>
      <c r="C122" t="s">
        <v>59</v>
      </c>
      <c r="D122" t="s">
        <v>30</v>
      </c>
      <c r="E122" s="3">
        <v>2</v>
      </c>
      <c r="F122" t="s">
        <v>34</v>
      </c>
      <c r="G122" t="s">
        <v>70</v>
      </c>
    </row>
    <row r="123" spans="1:7">
      <c r="A123" t="s">
        <v>182</v>
      </c>
      <c r="B123" s="2">
        <v>46247.46875</v>
      </c>
      <c r="C123" t="s">
        <v>59</v>
      </c>
      <c r="D123" t="s">
        <v>11</v>
      </c>
      <c r="E123" s="3">
        <v>5</v>
      </c>
      <c r="F123" t="s">
        <v>36</v>
      </c>
      <c r="G123" t="s">
        <v>62</v>
      </c>
    </row>
    <row r="124" spans="1:7">
      <c r="A124" t="s">
        <v>183</v>
      </c>
      <c r="B124" s="2">
        <v>46247.472222222219</v>
      </c>
      <c r="C124" t="s">
        <v>52</v>
      </c>
      <c r="D124" t="s">
        <v>28</v>
      </c>
      <c r="E124" s="3">
        <v>33</v>
      </c>
      <c r="F124" t="s">
        <v>38</v>
      </c>
      <c r="G124" t="s">
        <v>86</v>
      </c>
    </row>
    <row r="125" spans="1:7">
      <c r="A125" t="s">
        <v>184</v>
      </c>
      <c r="B125" s="2">
        <v>46247.496527777781</v>
      </c>
      <c r="C125" t="s">
        <v>52</v>
      </c>
      <c r="D125" t="s">
        <v>30</v>
      </c>
      <c r="E125" s="3">
        <v>30</v>
      </c>
      <c r="F125" t="s">
        <v>38</v>
      </c>
      <c r="G125" t="s">
        <v>86</v>
      </c>
    </row>
    <row r="126" spans="1:7">
      <c r="A126" t="s">
        <v>185</v>
      </c>
      <c r="B126" s="2">
        <v>46247.517361111109</v>
      </c>
      <c r="C126" t="s">
        <v>59</v>
      </c>
      <c r="D126" t="s">
        <v>5</v>
      </c>
      <c r="E126" s="3">
        <v>8</v>
      </c>
      <c r="F126" t="s">
        <v>34</v>
      </c>
      <c r="G126" t="s">
        <v>70</v>
      </c>
    </row>
    <row r="127" spans="1:7">
      <c r="A127" t="s">
        <v>186</v>
      </c>
      <c r="B127" s="2">
        <v>46247.520833333336</v>
      </c>
      <c r="C127" t="s">
        <v>52</v>
      </c>
      <c r="D127" t="s">
        <v>11</v>
      </c>
      <c r="E127" s="3">
        <v>15</v>
      </c>
      <c r="F127" t="s">
        <v>40</v>
      </c>
      <c r="G127" t="s">
        <v>81</v>
      </c>
    </row>
    <row r="128" spans="1:7">
      <c r="A128" t="s">
        <v>187</v>
      </c>
      <c r="B128" s="2">
        <v>46247.642361111109</v>
      </c>
      <c r="C128" t="s">
        <v>59</v>
      </c>
      <c r="D128" t="s">
        <v>14</v>
      </c>
      <c r="E128" s="3">
        <v>3</v>
      </c>
      <c r="F128" t="s">
        <v>40</v>
      </c>
      <c r="G128" t="s">
        <v>60</v>
      </c>
    </row>
    <row r="129" spans="1:7">
      <c r="A129" t="s">
        <v>188</v>
      </c>
      <c r="B129" s="2">
        <v>46248.364583333336</v>
      </c>
      <c r="C129" t="s">
        <v>59</v>
      </c>
      <c r="D129" t="s">
        <v>22</v>
      </c>
      <c r="E129" s="3">
        <v>1</v>
      </c>
      <c r="F129" t="s">
        <v>40</v>
      </c>
      <c r="G129" t="s">
        <v>73</v>
      </c>
    </row>
    <row r="130" spans="1:7">
      <c r="A130" t="s">
        <v>189</v>
      </c>
      <c r="B130" s="2">
        <v>46248.388888888891</v>
      </c>
      <c r="C130" t="s">
        <v>59</v>
      </c>
      <c r="D130" t="s">
        <v>17</v>
      </c>
      <c r="E130" s="3">
        <v>5</v>
      </c>
      <c r="F130" t="s">
        <v>42</v>
      </c>
      <c r="G130" t="s">
        <v>70</v>
      </c>
    </row>
    <row r="131" spans="1:7">
      <c r="A131" t="s">
        <v>190</v>
      </c>
      <c r="B131" s="2">
        <v>46248.409722222219</v>
      </c>
      <c r="C131" t="s">
        <v>59</v>
      </c>
      <c r="D131" t="s">
        <v>5</v>
      </c>
      <c r="E131" s="3">
        <v>5</v>
      </c>
      <c r="F131" t="s">
        <v>34</v>
      </c>
      <c r="G131" t="s">
        <v>73</v>
      </c>
    </row>
    <row r="132" spans="1:7">
      <c r="A132" t="s">
        <v>191</v>
      </c>
      <c r="B132" s="2">
        <v>46248.4375</v>
      </c>
      <c r="C132" t="s">
        <v>59</v>
      </c>
      <c r="D132" t="s">
        <v>30</v>
      </c>
      <c r="E132" s="3">
        <v>3</v>
      </c>
      <c r="F132" t="s">
        <v>40</v>
      </c>
      <c r="G132" t="s">
        <v>70</v>
      </c>
    </row>
    <row r="133" spans="1:7">
      <c r="A133" t="s">
        <v>192</v>
      </c>
      <c r="B133" s="2">
        <v>46248.472222222219</v>
      </c>
      <c r="C133" t="s">
        <v>52</v>
      </c>
      <c r="D133" t="s">
        <v>22</v>
      </c>
      <c r="E133" s="3">
        <v>16</v>
      </c>
      <c r="F133" t="s">
        <v>42</v>
      </c>
      <c r="G133" t="s">
        <v>86</v>
      </c>
    </row>
    <row r="134" spans="1:7">
      <c r="A134" t="s">
        <v>193</v>
      </c>
      <c r="B134" s="2">
        <v>46248.510416666664</v>
      </c>
      <c r="C134" t="s">
        <v>59</v>
      </c>
      <c r="D134" t="s">
        <v>11</v>
      </c>
      <c r="E134" s="3">
        <v>1</v>
      </c>
      <c r="F134" t="s">
        <v>36</v>
      </c>
      <c r="G134" t="s">
        <v>60</v>
      </c>
    </row>
    <row r="135" spans="1:7">
      <c r="A135" t="s">
        <v>194</v>
      </c>
      <c r="B135" s="2">
        <v>46248.555555555555</v>
      </c>
      <c r="C135" t="s">
        <v>59</v>
      </c>
      <c r="D135" t="s">
        <v>22</v>
      </c>
      <c r="E135" s="3">
        <v>4</v>
      </c>
      <c r="F135" t="s">
        <v>42</v>
      </c>
      <c r="G135" t="s">
        <v>73</v>
      </c>
    </row>
    <row r="136" spans="1:7">
      <c r="A136" t="s">
        <v>195</v>
      </c>
      <c r="B136" s="2">
        <v>46248.597222222219</v>
      </c>
      <c r="C136" t="s">
        <v>59</v>
      </c>
      <c r="D136" t="s">
        <v>20</v>
      </c>
      <c r="E136" s="3">
        <v>8</v>
      </c>
      <c r="F136" t="s">
        <v>40</v>
      </c>
      <c r="G136" t="s">
        <v>70</v>
      </c>
    </row>
    <row r="137" spans="1:7">
      <c r="A137" t="s">
        <v>196</v>
      </c>
      <c r="B137" s="2">
        <v>46248.763888888891</v>
      </c>
      <c r="C137" t="s">
        <v>59</v>
      </c>
      <c r="D137" t="s">
        <v>22</v>
      </c>
      <c r="E137" s="3">
        <v>7</v>
      </c>
      <c r="F137" t="s">
        <v>40</v>
      </c>
      <c r="G137" t="s">
        <v>70</v>
      </c>
    </row>
    <row r="138" spans="1:7">
      <c r="A138" t="s">
        <v>197</v>
      </c>
      <c r="B138" s="2">
        <v>46248.770833333336</v>
      </c>
      <c r="C138" t="s">
        <v>59</v>
      </c>
      <c r="D138" t="s">
        <v>5</v>
      </c>
      <c r="E138" s="3">
        <v>3</v>
      </c>
      <c r="F138" t="s">
        <v>40</v>
      </c>
      <c r="G138" t="s">
        <v>70</v>
      </c>
    </row>
    <row r="139" spans="1:7">
      <c r="A139" t="s">
        <v>198</v>
      </c>
      <c r="B139" s="2">
        <v>46248.8125</v>
      </c>
      <c r="C139" t="s">
        <v>52</v>
      </c>
      <c r="D139" t="s">
        <v>30</v>
      </c>
      <c r="E139" s="3">
        <v>16</v>
      </c>
      <c r="F139" t="s">
        <v>40</v>
      </c>
      <c r="G139" t="s">
        <v>81</v>
      </c>
    </row>
    <row r="140" spans="1:7">
      <c r="A140" t="s">
        <v>199</v>
      </c>
      <c r="B140" s="2">
        <v>46249.340277777781</v>
      </c>
      <c r="C140" t="s">
        <v>59</v>
      </c>
      <c r="D140" t="s">
        <v>11</v>
      </c>
      <c r="E140" s="3">
        <v>4</v>
      </c>
      <c r="F140" t="s">
        <v>42</v>
      </c>
      <c r="G140" t="s">
        <v>60</v>
      </c>
    </row>
    <row r="141" spans="1:7">
      <c r="A141" t="s">
        <v>200</v>
      </c>
      <c r="B141" s="2">
        <v>46249.524305555555</v>
      </c>
      <c r="C141" t="s">
        <v>52</v>
      </c>
      <c r="D141" t="s">
        <v>17</v>
      </c>
      <c r="E141" s="3">
        <v>26</v>
      </c>
      <c r="F141" t="s">
        <v>38</v>
      </c>
      <c r="G141" t="s">
        <v>79</v>
      </c>
    </row>
    <row r="142" spans="1:7">
      <c r="A142" t="s">
        <v>201</v>
      </c>
      <c r="B142" s="2">
        <v>46249.725694444445</v>
      </c>
      <c r="C142" t="s">
        <v>59</v>
      </c>
      <c r="D142" t="s">
        <v>17</v>
      </c>
      <c r="E142" s="3">
        <v>6</v>
      </c>
      <c r="F142" t="s">
        <v>40</v>
      </c>
      <c r="G142" t="s">
        <v>62</v>
      </c>
    </row>
    <row r="143" spans="1:7">
      <c r="A143" t="s">
        <v>202</v>
      </c>
      <c r="B143" s="2">
        <v>46249.774305555555</v>
      </c>
      <c r="C143" t="s">
        <v>59</v>
      </c>
      <c r="D143" t="s">
        <v>9</v>
      </c>
      <c r="E143" s="3">
        <v>7</v>
      </c>
      <c r="F143" t="s">
        <v>42</v>
      </c>
      <c r="G143" t="s">
        <v>70</v>
      </c>
    </row>
    <row r="144" spans="1:7">
      <c r="A144" t="s">
        <v>203</v>
      </c>
      <c r="B144" s="2">
        <v>46249.819444444445</v>
      </c>
      <c r="C144" t="s">
        <v>59</v>
      </c>
      <c r="D144" t="s">
        <v>28</v>
      </c>
      <c r="E144" s="3">
        <v>2</v>
      </c>
      <c r="F144" t="s">
        <v>42</v>
      </c>
      <c r="G144" t="s">
        <v>73</v>
      </c>
    </row>
    <row r="145" spans="1:7">
      <c r="A145" t="s">
        <v>204</v>
      </c>
      <c r="B145" s="2">
        <v>46249.822916666664</v>
      </c>
      <c r="C145" t="s">
        <v>59</v>
      </c>
      <c r="D145" t="s">
        <v>9</v>
      </c>
      <c r="E145" s="3">
        <v>8</v>
      </c>
      <c r="F145" t="s">
        <v>36</v>
      </c>
      <c r="G145" t="s">
        <v>73</v>
      </c>
    </row>
    <row r="146" spans="1:7">
      <c r="A146" t="s">
        <v>205</v>
      </c>
      <c r="B146" s="2">
        <v>46250.381944444445</v>
      </c>
      <c r="C146" t="s">
        <v>59</v>
      </c>
      <c r="D146" t="s">
        <v>17</v>
      </c>
      <c r="E146" s="3">
        <v>3</v>
      </c>
      <c r="F146" t="s">
        <v>40</v>
      </c>
      <c r="G146" t="s">
        <v>62</v>
      </c>
    </row>
    <row r="147" spans="1:7">
      <c r="A147" t="s">
        <v>206</v>
      </c>
      <c r="B147" s="2">
        <v>46250.399305555555</v>
      </c>
      <c r="C147" t="s">
        <v>59</v>
      </c>
      <c r="D147" t="s">
        <v>26</v>
      </c>
      <c r="E147" s="3">
        <v>3</v>
      </c>
      <c r="F147" t="s">
        <v>38</v>
      </c>
      <c r="G147" t="s">
        <v>70</v>
      </c>
    </row>
    <row r="148" spans="1:7">
      <c r="A148" t="s">
        <v>207</v>
      </c>
      <c r="B148" s="2">
        <v>46250.413194444445</v>
      </c>
      <c r="C148" t="s">
        <v>59</v>
      </c>
      <c r="D148" t="s">
        <v>9</v>
      </c>
      <c r="E148" s="3">
        <v>8</v>
      </c>
      <c r="F148" t="s">
        <v>38</v>
      </c>
      <c r="G148" t="s">
        <v>60</v>
      </c>
    </row>
    <row r="149" spans="1:7">
      <c r="A149" t="s">
        <v>208</v>
      </c>
      <c r="B149" s="2">
        <v>46250.461805555555</v>
      </c>
      <c r="C149" t="s">
        <v>59</v>
      </c>
      <c r="D149" t="s">
        <v>14</v>
      </c>
      <c r="E149" s="3">
        <v>8</v>
      </c>
      <c r="F149" t="s">
        <v>34</v>
      </c>
      <c r="G149" t="s">
        <v>62</v>
      </c>
    </row>
    <row r="150" spans="1:7">
      <c r="A150" t="s">
        <v>209</v>
      </c>
      <c r="B150" s="2">
        <v>46250.493055555555</v>
      </c>
      <c r="C150" t="s">
        <v>59</v>
      </c>
      <c r="D150" t="s">
        <v>17</v>
      </c>
      <c r="E150" s="3">
        <v>5</v>
      </c>
      <c r="F150" t="s">
        <v>40</v>
      </c>
      <c r="G150" t="s">
        <v>73</v>
      </c>
    </row>
    <row r="151" spans="1:7">
      <c r="A151" t="s">
        <v>210</v>
      </c>
      <c r="B151" s="2">
        <v>46250.524305555555</v>
      </c>
      <c r="C151" t="s">
        <v>59</v>
      </c>
      <c r="D151" t="s">
        <v>26</v>
      </c>
      <c r="E151" s="3">
        <v>3</v>
      </c>
      <c r="F151" t="s">
        <v>36</v>
      </c>
      <c r="G151" t="s">
        <v>70</v>
      </c>
    </row>
    <row r="152" spans="1:7">
      <c r="A152" t="s">
        <v>211</v>
      </c>
      <c r="B152" s="2">
        <v>46250.663194444445</v>
      </c>
      <c r="C152" t="s">
        <v>59</v>
      </c>
      <c r="D152" t="s">
        <v>26</v>
      </c>
      <c r="E152" s="3">
        <v>1</v>
      </c>
      <c r="F152" t="s">
        <v>38</v>
      </c>
      <c r="G152" t="s">
        <v>73</v>
      </c>
    </row>
    <row r="153" spans="1:7">
      <c r="A153" t="s">
        <v>212</v>
      </c>
      <c r="B153" s="2">
        <v>46250.690972222219</v>
      </c>
      <c r="C153" t="s">
        <v>59</v>
      </c>
      <c r="D153" t="s">
        <v>26</v>
      </c>
      <c r="E153" s="3">
        <v>6</v>
      </c>
      <c r="F153" t="s">
        <v>42</v>
      </c>
      <c r="G153" t="s">
        <v>73</v>
      </c>
    </row>
    <row r="154" spans="1:7">
      <c r="A154" t="s">
        <v>213</v>
      </c>
      <c r="B154" s="2">
        <v>46250.725694444445</v>
      </c>
      <c r="C154" t="s">
        <v>52</v>
      </c>
      <c r="D154" t="s">
        <v>9</v>
      </c>
      <c r="E154" s="3">
        <v>29</v>
      </c>
      <c r="F154" t="s">
        <v>38</v>
      </c>
      <c r="G154" t="s">
        <v>86</v>
      </c>
    </row>
    <row r="155" spans="1:7">
      <c r="A155" t="s">
        <v>214</v>
      </c>
      <c r="B155" s="2">
        <v>46250.770833333336</v>
      </c>
      <c r="C155" t="s">
        <v>59</v>
      </c>
      <c r="D155" t="s">
        <v>11</v>
      </c>
      <c r="E155" s="3">
        <v>8</v>
      </c>
      <c r="F155" t="s">
        <v>40</v>
      </c>
      <c r="G155" t="s">
        <v>60</v>
      </c>
    </row>
    <row r="156" spans="1:7">
      <c r="A156" t="s">
        <v>215</v>
      </c>
      <c r="B156" s="2">
        <v>46250.826388888891</v>
      </c>
      <c r="C156" t="s">
        <v>59</v>
      </c>
      <c r="D156" t="s">
        <v>20</v>
      </c>
      <c r="E156" s="3">
        <v>6</v>
      </c>
      <c r="F156" t="s">
        <v>42</v>
      </c>
      <c r="G156" t="s">
        <v>60</v>
      </c>
    </row>
    <row r="157" spans="1:7">
      <c r="A157" t="s">
        <v>216</v>
      </c>
      <c r="B157" s="2">
        <v>46251.357638888891</v>
      </c>
      <c r="C157" t="s">
        <v>52</v>
      </c>
      <c r="D157" t="s">
        <v>26</v>
      </c>
      <c r="E157" s="3">
        <v>34</v>
      </c>
      <c r="F157" t="s">
        <v>36</v>
      </c>
      <c r="G157" t="s">
        <v>81</v>
      </c>
    </row>
    <row r="158" spans="1:7">
      <c r="A158" t="s">
        <v>217</v>
      </c>
      <c r="B158" s="2">
        <v>46251.46875</v>
      </c>
      <c r="C158" t="s">
        <v>59</v>
      </c>
      <c r="D158" t="s">
        <v>5</v>
      </c>
      <c r="E158" s="3">
        <v>2</v>
      </c>
      <c r="F158" t="s">
        <v>36</v>
      </c>
      <c r="G158" t="s">
        <v>73</v>
      </c>
    </row>
    <row r="159" spans="1:7">
      <c r="A159" t="s">
        <v>218</v>
      </c>
      <c r="B159" s="2">
        <v>46251.559027777781</v>
      </c>
      <c r="C159" t="s">
        <v>52</v>
      </c>
      <c r="D159" t="s">
        <v>5</v>
      </c>
      <c r="E159" s="3">
        <v>18</v>
      </c>
      <c r="F159" t="s">
        <v>40</v>
      </c>
      <c r="G159" t="s">
        <v>79</v>
      </c>
    </row>
    <row r="160" spans="1:7">
      <c r="A160" t="s">
        <v>219</v>
      </c>
      <c r="B160" s="2">
        <v>46251.559027777781</v>
      </c>
      <c r="C160" t="s">
        <v>59</v>
      </c>
      <c r="D160" t="s">
        <v>20</v>
      </c>
      <c r="E160" s="3">
        <v>1</v>
      </c>
      <c r="F160" t="s">
        <v>40</v>
      </c>
      <c r="G160" t="s">
        <v>60</v>
      </c>
    </row>
    <row r="161" spans="1:7">
      <c r="A161" t="s">
        <v>220</v>
      </c>
      <c r="B161" s="2">
        <v>46251.576388888891</v>
      </c>
      <c r="C161" t="s">
        <v>52</v>
      </c>
      <c r="D161" t="s">
        <v>5</v>
      </c>
      <c r="E161" s="3">
        <v>33</v>
      </c>
      <c r="F161" t="s">
        <v>40</v>
      </c>
      <c r="G161" t="s">
        <v>79</v>
      </c>
    </row>
    <row r="162" spans="1:7">
      <c r="A162" t="s">
        <v>221</v>
      </c>
      <c r="B162" s="2">
        <v>46251.600694444445</v>
      </c>
      <c r="C162" t="s">
        <v>59</v>
      </c>
      <c r="D162" t="s">
        <v>17</v>
      </c>
      <c r="E162" s="3">
        <v>4</v>
      </c>
      <c r="F162" t="s">
        <v>36</v>
      </c>
      <c r="G162" t="s">
        <v>73</v>
      </c>
    </row>
    <row r="163" spans="1:7">
      <c r="A163" t="s">
        <v>222</v>
      </c>
      <c r="B163" s="2">
        <v>46251.6875</v>
      </c>
      <c r="C163" t="s">
        <v>52</v>
      </c>
      <c r="D163" t="s">
        <v>14</v>
      </c>
      <c r="E163" s="3">
        <v>34</v>
      </c>
      <c r="F163" t="s">
        <v>42</v>
      </c>
      <c r="G163" t="s">
        <v>79</v>
      </c>
    </row>
    <row r="164" spans="1:7">
      <c r="A164" t="s">
        <v>223</v>
      </c>
      <c r="B164" s="2">
        <v>46252.350694444445</v>
      </c>
      <c r="C164" t="s">
        <v>52</v>
      </c>
      <c r="D164" t="s">
        <v>14</v>
      </c>
      <c r="E164" s="3">
        <v>30</v>
      </c>
      <c r="F164" t="s">
        <v>38</v>
      </c>
      <c r="G164" t="s">
        <v>81</v>
      </c>
    </row>
    <row r="165" spans="1:7">
      <c r="A165" t="s">
        <v>224</v>
      </c>
      <c r="B165" s="2">
        <v>46252.388888888891</v>
      </c>
      <c r="C165" t="s">
        <v>59</v>
      </c>
      <c r="D165" t="s">
        <v>22</v>
      </c>
      <c r="E165" s="3">
        <v>2</v>
      </c>
      <c r="F165" t="s">
        <v>36</v>
      </c>
      <c r="G165" t="s">
        <v>60</v>
      </c>
    </row>
    <row r="166" spans="1:7">
      <c r="A166" t="s">
        <v>225</v>
      </c>
      <c r="B166" s="2">
        <v>46252.40625</v>
      </c>
      <c r="C166" t="s">
        <v>52</v>
      </c>
      <c r="D166" t="s">
        <v>11</v>
      </c>
      <c r="E166" s="3">
        <v>17</v>
      </c>
      <c r="F166" t="s">
        <v>38</v>
      </c>
      <c r="G166" t="s">
        <v>79</v>
      </c>
    </row>
    <row r="167" spans="1:7">
      <c r="A167" t="s">
        <v>226</v>
      </c>
      <c r="B167" s="2">
        <v>46252.4375</v>
      </c>
      <c r="C167" t="s">
        <v>52</v>
      </c>
      <c r="D167" t="s">
        <v>26</v>
      </c>
      <c r="E167" s="3">
        <v>25</v>
      </c>
      <c r="F167" t="s">
        <v>38</v>
      </c>
      <c r="G167" t="s">
        <v>79</v>
      </c>
    </row>
    <row r="168" spans="1:7">
      <c r="A168" t="s">
        <v>227</v>
      </c>
      <c r="B168" s="2">
        <v>46252.465277777781</v>
      </c>
      <c r="C168" t="s">
        <v>59</v>
      </c>
      <c r="D168" t="s">
        <v>5</v>
      </c>
      <c r="E168" s="3">
        <v>4</v>
      </c>
      <c r="F168" t="s">
        <v>42</v>
      </c>
      <c r="G168" t="s">
        <v>70</v>
      </c>
    </row>
    <row r="169" spans="1:7">
      <c r="A169" t="s">
        <v>228</v>
      </c>
      <c r="B169" s="2">
        <v>46252.475694444445</v>
      </c>
      <c r="C169" t="s">
        <v>59</v>
      </c>
      <c r="D169" t="s">
        <v>22</v>
      </c>
      <c r="E169" s="3">
        <v>4</v>
      </c>
      <c r="F169" t="s">
        <v>38</v>
      </c>
      <c r="G169" t="s">
        <v>73</v>
      </c>
    </row>
    <row r="170" spans="1:7">
      <c r="A170" t="s">
        <v>229</v>
      </c>
      <c r="B170" s="2">
        <v>46252.503472222219</v>
      </c>
      <c r="C170" t="s">
        <v>59</v>
      </c>
      <c r="D170" t="s">
        <v>11</v>
      </c>
      <c r="E170" s="3">
        <v>3</v>
      </c>
      <c r="F170" t="s">
        <v>40</v>
      </c>
      <c r="G170" t="s">
        <v>73</v>
      </c>
    </row>
    <row r="171" spans="1:7">
      <c r="A171" t="s">
        <v>230</v>
      </c>
      <c r="B171" s="2">
        <v>46252.541666666664</v>
      </c>
      <c r="C171" t="s">
        <v>59</v>
      </c>
      <c r="D171" t="s">
        <v>26</v>
      </c>
      <c r="E171" s="3">
        <v>3</v>
      </c>
      <c r="F171" t="s">
        <v>42</v>
      </c>
      <c r="G171" t="s">
        <v>70</v>
      </c>
    </row>
    <row r="172" spans="1:7">
      <c r="A172" t="s">
        <v>231</v>
      </c>
      <c r="B172" s="2">
        <v>46252.611111111109</v>
      </c>
      <c r="C172" t="s">
        <v>59</v>
      </c>
      <c r="D172" t="s">
        <v>17</v>
      </c>
      <c r="E172" s="3">
        <v>1</v>
      </c>
      <c r="F172" t="s">
        <v>34</v>
      </c>
      <c r="G172" t="s">
        <v>60</v>
      </c>
    </row>
    <row r="173" spans="1:7">
      <c r="A173" t="s">
        <v>232</v>
      </c>
      <c r="B173" s="2">
        <v>46252.65625</v>
      </c>
      <c r="C173" t="s">
        <v>59</v>
      </c>
      <c r="D173" t="s">
        <v>28</v>
      </c>
      <c r="E173" s="3">
        <v>7</v>
      </c>
      <c r="F173" t="s">
        <v>42</v>
      </c>
      <c r="G173" t="s">
        <v>73</v>
      </c>
    </row>
    <row r="174" spans="1:7">
      <c r="A174" t="s">
        <v>233</v>
      </c>
      <c r="B174" s="2">
        <v>46252.6875</v>
      </c>
      <c r="C174" t="s">
        <v>59</v>
      </c>
      <c r="D174" t="s">
        <v>30</v>
      </c>
      <c r="E174" s="3">
        <v>8</v>
      </c>
      <c r="F174" t="s">
        <v>34</v>
      </c>
      <c r="G174" t="s">
        <v>70</v>
      </c>
    </row>
    <row r="175" spans="1:7">
      <c r="A175" t="s">
        <v>234</v>
      </c>
      <c r="B175" s="2">
        <v>46253.517361111109</v>
      </c>
      <c r="C175" t="s">
        <v>59</v>
      </c>
      <c r="D175" t="s">
        <v>26</v>
      </c>
      <c r="E175" s="3">
        <v>3</v>
      </c>
      <c r="F175" t="s">
        <v>42</v>
      </c>
      <c r="G175" t="s">
        <v>62</v>
      </c>
    </row>
    <row r="176" spans="1:7">
      <c r="A176" t="s">
        <v>235</v>
      </c>
      <c r="B176" s="2">
        <v>46253.545138888891</v>
      </c>
      <c r="C176" t="s">
        <v>59</v>
      </c>
      <c r="D176" t="s">
        <v>20</v>
      </c>
      <c r="E176" s="3">
        <v>8</v>
      </c>
      <c r="F176" t="s">
        <v>42</v>
      </c>
      <c r="G176" t="s">
        <v>62</v>
      </c>
    </row>
    <row r="177" spans="1:7">
      <c r="A177" t="s">
        <v>236</v>
      </c>
      <c r="B177" s="2">
        <v>46253.565972222219</v>
      </c>
      <c r="C177" t="s">
        <v>52</v>
      </c>
      <c r="D177" t="s">
        <v>14</v>
      </c>
      <c r="E177" s="3">
        <v>31</v>
      </c>
      <c r="F177" t="s">
        <v>40</v>
      </c>
      <c r="G177" t="s">
        <v>79</v>
      </c>
    </row>
    <row r="178" spans="1:7">
      <c r="A178" t="s">
        <v>237</v>
      </c>
      <c r="B178" s="2">
        <v>46253.642361111109</v>
      </c>
      <c r="C178" t="s">
        <v>52</v>
      </c>
      <c r="D178" t="s">
        <v>22</v>
      </c>
      <c r="E178" s="3">
        <v>22</v>
      </c>
      <c r="F178" t="s">
        <v>34</v>
      </c>
      <c r="G178" t="s">
        <v>86</v>
      </c>
    </row>
    <row r="179" spans="1:7">
      <c r="A179" t="s">
        <v>238</v>
      </c>
      <c r="B179" s="2">
        <v>46253.649305555555</v>
      </c>
      <c r="C179" t="s">
        <v>59</v>
      </c>
      <c r="D179" t="s">
        <v>9</v>
      </c>
      <c r="E179" s="3">
        <v>6</v>
      </c>
      <c r="F179" t="s">
        <v>36</v>
      </c>
      <c r="G179" t="s">
        <v>62</v>
      </c>
    </row>
    <row r="180" spans="1:7">
      <c r="A180" t="s">
        <v>239</v>
      </c>
      <c r="B180" s="2">
        <v>46253.649305555555</v>
      </c>
      <c r="C180" t="s">
        <v>59</v>
      </c>
      <c r="D180" t="s">
        <v>5</v>
      </c>
      <c r="E180" s="3">
        <v>4</v>
      </c>
      <c r="F180" t="s">
        <v>38</v>
      </c>
      <c r="G180" t="s">
        <v>70</v>
      </c>
    </row>
    <row r="181" spans="1:7">
      <c r="A181" t="s">
        <v>240</v>
      </c>
      <c r="B181" s="2">
        <v>46253.666666666664</v>
      </c>
      <c r="C181" t="s">
        <v>59</v>
      </c>
      <c r="D181" t="s">
        <v>26</v>
      </c>
      <c r="E181" s="3">
        <v>3</v>
      </c>
      <c r="F181" t="s">
        <v>40</v>
      </c>
      <c r="G181" t="s">
        <v>62</v>
      </c>
    </row>
    <row r="182" spans="1:7">
      <c r="A182" t="s">
        <v>241</v>
      </c>
      <c r="B182" s="2">
        <v>46253.756944444445</v>
      </c>
      <c r="C182" t="s">
        <v>52</v>
      </c>
      <c r="D182" t="s">
        <v>14</v>
      </c>
      <c r="E182" s="3">
        <v>26</v>
      </c>
      <c r="F182" t="s">
        <v>42</v>
      </c>
      <c r="G182" t="s">
        <v>86</v>
      </c>
    </row>
    <row r="183" spans="1:7">
      <c r="A183" t="s">
        <v>242</v>
      </c>
      <c r="B183" s="2">
        <v>46253.770833333336</v>
      </c>
      <c r="C183" t="s">
        <v>52</v>
      </c>
      <c r="D183" t="s">
        <v>17</v>
      </c>
      <c r="E183" s="3">
        <v>29</v>
      </c>
      <c r="F183" t="s">
        <v>42</v>
      </c>
      <c r="G183" t="s">
        <v>86</v>
      </c>
    </row>
    <row r="184" spans="1:7">
      <c r="A184" t="s">
        <v>243</v>
      </c>
      <c r="B184" s="2">
        <v>46254.34375</v>
      </c>
      <c r="C184" t="s">
        <v>59</v>
      </c>
      <c r="D184" t="s">
        <v>17</v>
      </c>
      <c r="E184" s="3">
        <v>7</v>
      </c>
      <c r="F184" t="s">
        <v>42</v>
      </c>
      <c r="G184" t="s">
        <v>62</v>
      </c>
    </row>
    <row r="185" spans="1:7">
      <c r="A185" t="s">
        <v>244</v>
      </c>
      <c r="B185" s="2">
        <v>46254.4375</v>
      </c>
      <c r="C185" t="s">
        <v>52</v>
      </c>
      <c r="D185" t="s">
        <v>30</v>
      </c>
      <c r="E185" s="3">
        <v>15</v>
      </c>
      <c r="F185" t="s">
        <v>34</v>
      </c>
      <c r="G185" t="s">
        <v>86</v>
      </c>
    </row>
    <row r="186" spans="1:7">
      <c r="A186" t="s">
        <v>245</v>
      </c>
      <c r="B186" s="2">
        <v>46254.506944444445</v>
      </c>
      <c r="C186" t="s">
        <v>59</v>
      </c>
      <c r="D186" t="s">
        <v>28</v>
      </c>
      <c r="E186" s="3">
        <v>6</v>
      </c>
      <c r="F186" t="s">
        <v>36</v>
      </c>
      <c r="G186" t="s">
        <v>73</v>
      </c>
    </row>
    <row r="187" spans="1:7">
      <c r="A187" t="s">
        <v>246</v>
      </c>
      <c r="B187" s="2">
        <v>46254.53125</v>
      </c>
      <c r="C187" t="s">
        <v>59</v>
      </c>
      <c r="D187" t="s">
        <v>17</v>
      </c>
      <c r="E187" s="3">
        <v>5</v>
      </c>
      <c r="F187" t="s">
        <v>38</v>
      </c>
      <c r="G187" t="s">
        <v>70</v>
      </c>
    </row>
    <row r="188" spans="1:7">
      <c r="A188" t="s">
        <v>247</v>
      </c>
      <c r="B188" s="2">
        <v>46254.621527777781</v>
      </c>
      <c r="C188" t="s">
        <v>59</v>
      </c>
      <c r="D188" t="s">
        <v>11</v>
      </c>
      <c r="E188" s="3">
        <v>7</v>
      </c>
      <c r="F188" t="s">
        <v>42</v>
      </c>
      <c r="G188" t="s">
        <v>73</v>
      </c>
    </row>
    <row r="189" spans="1:7">
      <c r="A189" t="s">
        <v>248</v>
      </c>
      <c r="B189" s="2">
        <v>46254.638888888891</v>
      </c>
      <c r="C189" t="s">
        <v>59</v>
      </c>
      <c r="D189" t="s">
        <v>28</v>
      </c>
      <c r="E189" s="3">
        <v>2</v>
      </c>
      <c r="F189" t="s">
        <v>42</v>
      </c>
      <c r="G189" t="s">
        <v>60</v>
      </c>
    </row>
    <row r="190" spans="1:7">
      <c r="A190" t="s">
        <v>249</v>
      </c>
      <c r="B190" s="2">
        <v>46254.649305555555</v>
      </c>
      <c r="C190" t="s">
        <v>59</v>
      </c>
      <c r="D190" t="s">
        <v>14</v>
      </c>
      <c r="E190" s="3">
        <v>4</v>
      </c>
      <c r="F190" t="s">
        <v>34</v>
      </c>
      <c r="G190" t="s">
        <v>60</v>
      </c>
    </row>
    <row r="191" spans="1:7">
      <c r="A191" t="s">
        <v>250</v>
      </c>
      <c r="B191" s="2">
        <v>46254.659722222219</v>
      </c>
      <c r="C191" t="s">
        <v>59</v>
      </c>
      <c r="D191" t="s">
        <v>30</v>
      </c>
      <c r="E191" s="3">
        <v>1</v>
      </c>
      <c r="F191" t="s">
        <v>40</v>
      </c>
      <c r="G191" t="s">
        <v>62</v>
      </c>
    </row>
    <row r="192" spans="1:7">
      <c r="A192" t="s">
        <v>251</v>
      </c>
      <c r="B192" s="2">
        <v>46254.677083333336</v>
      </c>
      <c r="C192" t="s">
        <v>59</v>
      </c>
      <c r="D192" t="s">
        <v>28</v>
      </c>
      <c r="E192" s="3">
        <v>2</v>
      </c>
      <c r="F192" t="s">
        <v>40</v>
      </c>
      <c r="G192" t="s">
        <v>60</v>
      </c>
    </row>
    <row r="193" spans="1:7">
      <c r="A193" t="s">
        <v>252</v>
      </c>
      <c r="B193" s="2">
        <v>46254.684027777781</v>
      </c>
      <c r="C193" t="s">
        <v>59</v>
      </c>
      <c r="D193" t="s">
        <v>26</v>
      </c>
      <c r="E193" s="3">
        <v>4</v>
      </c>
      <c r="F193" t="s">
        <v>42</v>
      </c>
      <c r="G193" t="s">
        <v>62</v>
      </c>
    </row>
    <row r="194" spans="1:7">
      <c r="A194" t="s">
        <v>253</v>
      </c>
      <c r="B194" s="2">
        <v>46254.78125</v>
      </c>
      <c r="C194" t="s">
        <v>59</v>
      </c>
      <c r="D194" t="s">
        <v>30</v>
      </c>
      <c r="E194" s="3">
        <v>3</v>
      </c>
      <c r="F194" t="s">
        <v>34</v>
      </c>
      <c r="G194" t="s">
        <v>70</v>
      </c>
    </row>
    <row r="195" spans="1:7">
      <c r="A195" t="s">
        <v>254</v>
      </c>
      <c r="B195" s="2">
        <v>46255.357638888891</v>
      </c>
      <c r="C195" t="s">
        <v>52</v>
      </c>
      <c r="D195" t="s">
        <v>26</v>
      </c>
      <c r="E195" s="3">
        <v>14</v>
      </c>
      <c r="F195" t="s">
        <v>36</v>
      </c>
      <c r="G195" t="s">
        <v>81</v>
      </c>
    </row>
    <row r="196" spans="1:7">
      <c r="A196" t="s">
        <v>255</v>
      </c>
      <c r="B196" s="2">
        <v>46255.454861111109</v>
      </c>
      <c r="C196" t="s">
        <v>59</v>
      </c>
      <c r="D196" t="s">
        <v>9</v>
      </c>
      <c r="E196" s="3">
        <v>5</v>
      </c>
      <c r="F196" t="s">
        <v>34</v>
      </c>
      <c r="G196" t="s">
        <v>73</v>
      </c>
    </row>
    <row r="197" spans="1:7">
      <c r="A197" t="s">
        <v>256</v>
      </c>
      <c r="B197" s="2">
        <v>46255.458333333336</v>
      </c>
      <c r="C197" t="s">
        <v>59</v>
      </c>
      <c r="D197" t="s">
        <v>22</v>
      </c>
      <c r="E197" s="3">
        <v>8</v>
      </c>
      <c r="F197" t="s">
        <v>38</v>
      </c>
      <c r="G197" t="s">
        <v>73</v>
      </c>
    </row>
    <row r="198" spans="1:7">
      <c r="A198" t="s">
        <v>257</v>
      </c>
      <c r="B198" s="2">
        <v>46255.465277777781</v>
      </c>
      <c r="C198" t="s">
        <v>59</v>
      </c>
      <c r="D198" t="s">
        <v>9</v>
      </c>
      <c r="E198" s="3">
        <v>1</v>
      </c>
      <c r="F198" t="s">
        <v>36</v>
      </c>
      <c r="G198" t="s">
        <v>73</v>
      </c>
    </row>
    <row r="199" spans="1:7">
      <c r="A199" t="s">
        <v>258</v>
      </c>
      <c r="B199" s="2">
        <v>46255.465277777781</v>
      </c>
      <c r="C199" t="s">
        <v>59</v>
      </c>
      <c r="D199" t="s">
        <v>22</v>
      </c>
      <c r="E199" s="3">
        <v>5</v>
      </c>
      <c r="F199" t="s">
        <v>34</v>
      </c>
      <c r="G199" t="s">
        <v>73</v>
      </c>
    </row>
    <row r="200" spans="1:7">
      <c r="A200" t="s">
        <v>259</v>
      </c>
      <c r="B200" s="2">
        <v>46255.482638888891</v>
      </c>
      <c r="C200" t="s">
        <v>59</v>
      </c>
      <c r="D200" t="s">
        <v>30</v>
      </c>
      <c r="E200" s="3">
        <v>7</v>
      </c>
      <c r="F200" t="s">
        <v>36</v>
      </c>
      <c r="G200" t="s">
        <v>62</v>
      </c>
    </row>
    <row r="201" spans="1:7">
      <c r="A201" t="s">
        <v>260</v>
      </c>
      <c r="B201" s="2">
        <v>46255.503472222219</v>
      </c>
      <c r="C201" t="s">
        <v>59</v>
      </c>
      <c r="D201" t="s">
        <v>14</v>
      </c>
      <c r="E201" s="3">
        <v>1</v>
      </c>
      <c r="F201" t="s">
        <v>42</v>
      </c>
      <c r="G201" t="s">
        <v>70</v>
      </c>
    </row>
    <row r="202" spans="1:7">
      <c r="A202" t="s">
        <v>261</v>
      </c>
      <c r="B202" s="2">
        <v>46255.579861111109</v>
      </c>
      <c r="C202" t="s">
        <v>52</v>
      </c>
      <c r="D202" t="s">
        <v>26</v>
      </c>
      <c r="E202" s="3">
        <v>15</v>
      </c>
      <c r="F202" t="s">
        <v>34</v>
      </c>
      <c r="G202" t="s">
        <v>79</v>
      </c>
    </row>
    <row r="203" spans="1:7">
      <c r="A203" t="s">
        <v>262</v>
      </c>
      <c r="B203" s="2">
        <v>46255.59375</v>
      </c>
      <c r="C203" t="s">
        <v>52</v>
      </c>
      <c r="D203" t="s">
        <v>9</v>
      </c>
      <c r="E203" s="3">
        <v>33</v>
      </c>
      <c r="F203" t="s">
        <v>36</v>
      </c>
      <c r="G203" t="s">
        <v>79</v>
      </c>
    </row>
    <row r="204" spans="1:7">
      <c r="A204" t="s">
        <v>263</v>
      </c>
      <c r="B204" s="2">
        <v>46255.722222222219</v>
      </c>
      <c r="C204" t="s">
        <v>59</v>
      </c>
      <c r="D204" t="s">
        <v>9</v>
      </c>
      <c r="E204" s="3">
        <v>8</v>
      </c>
      <c r="F204" t="s">
        <v>36</v>
      </c>
      <c r="G204" t="s">
        <v>73</v>
      </c>
    </row>
    <row r="205" spans="1:7">
      <c r="A205" t="s">
        <v>264</v>
      </c>
      <c r="B205" s="2">
        <v>46255.760416666664</v>
      </c>
      <c r="C205" t="s">
        <v>59</v>
      </c>
      <c r="D205" t="s">
        <v>22</v>
      </c>
      <c r="E205" s="3">
        <v>6</v>
      </c>
      <c r="F205" t="s">
        <v>40</v>
      </c>
      <c r="G205" t="s">
        <v>73</v>
      </c>
    </row>
    <row r="206" spans="1:7">
      <c r="A206" t="s">
        <v>265</v>
      </c>
      <c r="B206" s="2">
        <v>46256.392361111109</v>
      </c>
      <c r="C206" t="s">
        <v>59</v>
      </c>
      <c r="D206" t="s">
        <v>11</v>
      </c>
      <c r="E206" s="3">
        <v>6</v>
      </c>
      <c r="F206" t="s">
        <v>34</v>
      </c>
      <c r="G206" t="s">
        <v>62</v>
      </c>
    </row>
    <row r="207" spans="1:7">
      <c r="A207" t="s">
        <v>266</v>
      </c>
      <c r="B207" s="2">
        <v>46256.40625</v>
      </c>
      <c r="C207" t="s">
        <v>59</v>
      </c>
      <c r="D207" t="s">
        <v>9</v>
      </c>
      <c r="E207" s="3">
        <v>3</v>
      </c>
      <c r="F207" t="s">
        <v>40</v>
      </c>
      <c r="G207" t="s">
        <v>70</v>
      </c>
    </row>
    <row r="208" spans="1:7">
      <c r="A208" t="s">
        <v>267</v>
      </c>
      <c r="B208" s="2">
        <v>46256.472222222219</v>
      </c>
      <c r="C208" t="s">
        <v>59</v>
      </c>
      <c r="D208" t="s">
        <v>11</v>
      </c>
      <c r="E208" s="3">
        <v>5</v>
      </c>
      <c r="F208" t="s">
        <v>36</v>
      </c>
      <c r="G208" t="s">
        <v>60</v>
      </c>
    </row>
    <row r="209" spans="1:7">
      <c r="A209" t="s">
        <v>268</v>
      </c>
      <c r="B209" s="2">
        <v>46256.475694444445</v>
      </c>
      <c r="C209" t="s">
        <v>52</v>
      </c>
      <c r="D209" t="s">
        <v>28</v>
      </c>
      <c r="E209" s="3">
        <v>31</v>
      </c>
      <c r="F209" t="s">
        <v>38</v>
      </c>
      <c r="G209" t="s">
        <v>79</v>
      </c>
    </row>
    <row r="210" spans="1:7">
      <c r="A210" t="s">
        <v>269</v>
      </c>
      <c r="B210" s="2">
        <v>46256.59375</v>
      </c>
      <c r="C210" t="s">
        <v>52</v>
      </c>
      <c r="D210" t="s">
        <v>26</v>
      </c>
      <c r="E210" s="3">
        <v>17</v>
      </c>
      <c r="F210" t="s">
        <v>40</v>
      </c>
      <c r="G210" t="s">
        <v>81</v>
      </c>
    </row>
    <row r="211" spans="1:7">
      <c r="A211" t="s">
        <v>270</v>
      </c>
      <c r="B211" s="2">
        <v>46256.71875</v>
      </c>
      <c r="C211" t="s">
        <v>59</v>
      </c>
      <c r="D211" t="s">
        <v>5</v>
      </c>
      <c r="E211" s="3">
        <v>5</v>
      </c>
      <c r="F211" t="s">
        <v>38</v>
      </c>
      <c r="G211" t="s">
        <v>60</v>
      </c>
    </row>
    <row r="212" spans="1:7">
      <c r="A212" t="s">
        <v>271</v>
      </c>
      <c r="B212" s="2">
        <v>46256.743055555555</v>
      </c>
      <c r="C212" t="s">
        <v>52</v>
      </c>
      <c r="D212" t="s">
        <v>30</v>
      </c>
      <c r="E212" s="3">
        <v>34</v>
      </c>
      <c r="F212" t="s">
        <v>34</v>
      </c>
      <c r="G212" t="s">
        <v>86</v>
      </c>
    </row>
    <row r="213" spans="1:7">
      <c r="A213" t="s">
        <v>272</v>
      </c>
      <c r="B213" s="2">
        <v>46256.763888888891</v>
      </c>
      <c r="C213" t="s">
        <v>59</v>
      </c>
      <c r="D213" t="s">
        <v>20</v>
      </c>
      <c r="E213" s="3">
        <v>6</v>
      </c>
      <c r="F213" t="s">
        <v>42</v>
      </c>
      <c r="G213" t="s">
        <v>70</v>
      </c>
    </row>
    <row r="214" spans="1:7">
      <c r="A214" t="s">
        <v>273</v>
      </c>
      <c r="B214" s="2">
        <v>46256.829861111109</v>
      </c>
      <c r="C214" t="s">
        <v>59</v>
      </c>
      <c r="D214" t="s">
        <v>14</v>
      </c>
      <c r="E214" s="3">
        <v>4</v>
      </c>
      <c r="F214" t="s">
        <v>42</v>
      </c>
      <c r="G214" t="s">
        <v>73</v>
      </c>
    </row>
    <row r="215" spans="1:7">
      <c r="A215" t="s">
        <v>274</v>
      </c>
      <c r="B215" s="2">
        <v>46257.375</v>
      </c>
      <c r="C215" t="s">
        <v>59</v>
      </c>
      <c r="D215" t="s">
        <v>14</v>
      </c>
      <c r="E215" s="3">
        <v>1</v>
      </c>
      <c r="F215" t="s">
        <v>34</v>
      </c>
      <c r="G215" t="s">
        <v>73</v>
      </c>
    </row>
    <row r="216" spans="1:7">
      <c r="A216" t="s">
        <v>275</v>
      </c>
      <c r="B216" s="2">
        <v>46257.465277777781</v>
      </c>
      <c r="C216" t="s">
        <v>59</v>
      </c>
      <c r="D216" t="s">
        <v>17</v>
      </c>
      <c r="E216" s="3">
        <v>2</v>
      </c>
      <c r="F216" t="s">
        <v>38</v>
      </c>
      <c r="G216" t="s">
        <v>73</v>
      </c>
    </row>
    <row r="217" spans="1:7">
      <c r="A217" t="s">
        <v>276</v>
      </c>
      <c r="B217" s="2">
        <v>46257.545138888891</v>
      </c>
      <c r="C217" t="s">
        <v>52</v>
      </c>
      <c r="D217" t="s">
        <v>9</v>
      </c>
      <c r="E217" s="3">
        <v>24</v>
      </c>
      <c r="F217" t="s">
        <v>42</v>
      </c>
      <c r="G217" t="s">
        <v>86</v>
      </c>
    </row>
    <row r="218" spans="1:7">
      <c r="A218" t="s">
        <v>277</v>
      </c>
      <c r="B218" s="2">
        <v>46257.548611111109</v>
      </c>
      <c r="C218" t="s">
        <v>59</v>
      </c>
      <c r="D218" t="s">
        <v>17</v>
      </c>
      <c r="E218" s="3">
        <v>2</v>
      </c>
      <c r="F218" t="s">
        <v>42</v>
      </c>
      <c r="G218" t="s">
        <v>73</v>
      </c>
    </row>
    <row r="219" spans="1:7">
      <c r="A219" t="s">
        <v>278</v>
      </c>
      <c r="B219" s="2">
        <v>46257.5625</v>
      </c>
      <c r="C219" t="s">
        <v>59</v>
      </c>
      <c r="D219" t="s">
        <v>26</v>
      </c>
      <c r="E219" s="3">
        <v>4</v>
      </c>
      <c r="F219" t="s">
        <v>38</v>
      </c>
      <c r="G219" t="s">
        <v>70</v>
      </c>
    </row>
    <row r="220" spans="1:7">
      <c r="A220" t="s">
        <v>279</v>
      </c>
      <c r="B220" s="2">
        <v>46257.597222222219</v>
      </c>
      <c r="C220" t="s">
        <v>59</v>
      </c>
      <c r="D220" t="s">
        <v>11</v>
      </c>
      <c r="E220" s="3">
        <v>6</v>
      </c>
      <c r="F220" t="s">
        <v>38</v>
      </c>
      <c r="G220" t="s">
        <v>70</v>
      </c>
    </row>
    <row r="221" spans="1:7">
      <c r="A221" t="s">
        <v>280</v>
      </c>
      <c r="B221" s="2">
        <v>46257.611111111109</v>
      </c>
      <c r="C221" t="s">
        <v>59</v>
      </c>
      <c r="D221" t="s">
        <v>14</v>
      </c>
      <c r="E221" s="3">
        <v>5</v>
      </c>
      <c r="F221" t="s">
        <v>34</v>
      </c>
      <c r="G221" t="s">
        <v>70</v>
      </c>
    </row>
    <row r="222" spans="1:7">
      <c r="A222" t="s">
        <v>281</v>
      </c>
      <c r="B222" s="2">
        <v>46257.663194444445</v>
      </c>
      <c r="C222" t="s">
        <v>59</v>
      </c>
      <c r="D222" t="s">
        <v>17</v>
      </c>
      <c r="E222" s="3">
        <v>4</v>
      </c>
      <c r="F222" t="s">
        <v>42</v>
      </c>
      <c r="G222" t="s">
        <v>73</v>
      </c>
    </row>
    <row r="223" spans="1:7">
      <c r="A223" t="s">
        <v>282</v>
      </c>
      <c r="B223" s="2">
        <v>46257.694444444445</v>
      </c>
      <c r="C223" t="s">
        <v>59</v>
      </c>
      <c r="D223" t="s">
        <v>14</v>
      </c>
      <c r="E223" s="3">
        <v>6</v>
      </c>
      <c r="F223" t="s">
        <v>34</v>
      </c>
      <c r="G223" t="s">
        <v>62</v>
      </c>
    </row>
    <row r="224" spans="1:7">
      <c r="A224" t="s">
        <v>283</v>
      </c>
      <c r="B224" s="2">
        <v>46257.725694444445</v>
      </c>
      <c r="C224" t="s">
        <v>59</v>
      </c>
      <c r="D224" t="s">
        <v>26</v>
      </c>
      <c r="E224" s="3">
        <v>5</v>
      </c>
      <c r="F224" t="s">
        <v>34</v>
      </c>
      <c r="G224" t="s">
        <v>73</v>
      </c>
    </row>
    <row r="225" spans="1:7">
      <c r="A225" t="s">
        <v>284</v>
      </c>
      <c r="B225" s="2">
        <v>46257.8125</v>
      </c>
      <c r="C225" t="s">
        <v>59</v>
      </c>
      <c r="D225" t="s">
        <v>5</v>
      </c>
      <c r="E225" s="3">
        <v>4</v>
      </c>
      <c r="F225" t="s">
        <v>38</v>
      </c>
      <c r="G225" t="s">
        <v>60</v>
      </c>
    </row>
    <row r="226" spans="1:7">
      <c r="A226" t="s">
        <v>285</v>
      </c>
      <c r="B226" s="2">
        <v>46258.34375</v>
      </c>
      <c r="C226" t="s">
        <v>59</v>
      </c>
      <c r="D226" t="s">
        <v>28</v>
      </c>
      <c r="E226" s="3">
        <v>5</v>
      </c>
      <c r="F226" t="s">
        <v>36</v>
      </c>
      <c r="G226" t="s">
        <v>62</v>
      </c>
    </row>
    <row r="227" spans="1:7">
      <c r="A227" t="s">
        <v>286</v>
      </c>
      <c r="B227" s="2">
        <v>46258.458333333336</v>
      </c>
      <c r="C227" t="s">
        <v>52</v>
      </c>
      <c r="D227" t="s">
        <v>22</v>
      </c>
      <c r="E227" s="3">
        <v>11</v>
      </c>
      <c r="F227" t="s">
        <v>40</v>
      </c>
      <c r="G227" t="s">
        <v>79</v>
      </c>
    </row>
    <row r="228" spans="1:7">
      <c r="A228" t="s">
        <v>287</v>
      </c>
      <c r="B228" s="2">
        <v>46258.517361111109</v>
      </c>
      <c r="C228" t="s">
        <v>59</v>
      </c>
      <c r="D228" t="s">
        <v>30</v>
      </c>
      <c r="E228" s="3">
        <v>3</v>
      </c>
      <c r="F228" t="s">
        <v>36</v>
      </c>
      <c r="G228" t="s">
        <v>60</v>
      </c>
    </row>
    <row r="229" spans="1:7">
      <c r="A229" t="s">
        <v>288</v>
      </c>
      <c r="B229" s="2">
        <v>46258.53125</v>
      </c>
      <c r="C229" t="s">
        <v>59</v>
      </c>
      <c r="D229" t="s">
        <v>20</v>
      </c>
      <c r="E229" s="3">
        <v>8</v>
      </c>
      <c r="F229" t="s">
        <v>38</v>
      </c>
      <c r="G229" t="s">
        <v>70</v>
      </c>
    </row>
    <row r="230" spans="1:7">
      <c r="A230" t="s">
        <v>289</v>
      </c>
      <c r="B230" s="2">
        <v>46258.548611111109</v>
      </c>
      <c r="C230" t="s">
        <v>52</v>
      </c>
      <c r="D230" t="s">
        <v>5</v>
      </c>
      <c r="E230" s="3">
        <v>31</v>
      </c>
      <c r="F230" t="s">
        <v>34</v>
      </c>
      <c r="G230" t="s">
        <v>79</v>
      </c>
    </row>
    <row r="231" spans="1:7">
      <c r="A231" t="s">
        <v>290</v>
      </c>
      <c r="B231" s="2">
        <v>46258.555555555555</v>
      </c>
      <c r="C231" t="s">
        <v>59</v>
      </c>
      <c r="D231" t="s">
        <v>9</v>
      </c>
      <c r="E231" s="3">
        <v>1</v>
      </c>
      <c r="F231" t="s">
        <v>36</v>
      </c>
      <c r="G231" t="s">
        <v>62</v>
      </c>
    </row>
    <row r="232" spans="1:7">
      <c r="A232" t="s">
        <v>291</v>
      </c>
      <c r="B232" s="2">
        <v>46258.659722222219</v>
      </c>
      <c r="C232" t="s">
        <v>59</v>
      </c>
      <c r="D232" t="s">
        <v>22</v>
      </c>
      <c r="E232" s="3">
        <v>7</v>
      </c>
      <c r="F232" t="s">
        <v>42</v>
      </c>
      <c r="G232" t="s">
        <v>70</v>
      </c>
    </row>
    <row r="233" spans="1:7">
      <c r="A233" t="s">
        <v>292</v>
      </c>
      <c r="B233" s="2">
        <v>46258.694444444445</v>
      </c>
      <c r="C233" t="s">
        <v>59</v>
      </c>
      <c r="D233" t="s">
        <v>14</v>
      </c>
      <c r="E233" s="3">
        <v>1</v>
      </c>
      <c r="F233" t="s">
        <v>38</v>
      </c>
      <c r="G233" t="s">
        <v>70</v>
      </c>
    </row>
    <row r="234" spans="1:7">
      <c r="A234" t="s">
        <v>293</v>
      </c>
      <c r="B234" s="2">
        <v>46258.763888888891</v>
      </c>
      <c r="C234" t="s">
        <v>59</v>
      </c>
      <c r="D234" t="s">
        <v>22</v>
      </c>
      <c r="E234" s="3">
        <v>5</v>
      </c>
      <c r="F234" t="s">
        <v>36</v>
      </c>
      <c r="G234" t="s">
        <v>62</v>
      </c>
    </row>
    <row r="235" spans="1:7">
      <c r="A235" t="s">
        <v>294</v>
      </c>
      <c r="B235" s="2">
        <v>46258.774305555555</v>
      </c>
      <c r="C235" t="s">
        <v>59</v>
      </c>
      <c r="D235" t="s">
        <v>26</v>
      </c>
      <c r="E235" s="3">
        <v>2</v>
      </c>
      <c r="F235" t="s">
        <v>38</v>
      </c>
      <c r="G235" t="s">
        <v>60</v>
      </c>
    </row>
    <row r="236" spans="1:7">
      <c r="A236" t="s">
        <v>295</v>
      </c>
      <c r="B236" s="2">
        <v>46258.78125</v>
      </c>
      <c r="C236" t="s">
        <v>59</v>
      </c>
      <c r="D236" t="s">
        <v>9</v>
      </c>
      <c r="E236" s="3">
        <v>1</v>
      </c>
      <c r="F236" t="s">
        <v>40</v>
      </c>
      <c r="G236" t="s">
        <v>70</v>
      </c>
    </row>
    <row r="237" spans="1:7">
      <c r="A237" t="s">
        <v>296</v>
      </c>
      <c r="B237" s="2">
        <v>46258.8125</v>
      </c>
      <c r="C237" t="s">
        <v>52</v>
      </c>
      <c r="D237" t="s">
        <v>28</v>
      </c>
      <c r="E237" s="3">
        <v>28</v>
      </c>
      <c r="F237" t="s">
        <v>42</v>
      </c>
      <c r="G237" t="s">
        <v>81</v>
      </c>
    </row>
    <row r="238" spans="1:7">
      <c r="A238" t="s">
        <v>297</v>
      </c>
      <c r="B238" s="2">
        <v>46259.371527777781</v>
      </c>
      <c r="C238" t="s">
        <v>59</v>
      </c>
      <c r="D238" t="s">
        <v>20</v>
      </c>
      <c r="E238" s="3">
        <v>2</v>
      </c>
      <c r="F238" t="s">
        <v>36</v>
      </c>
      <c r="G238" t="s">
        <v>60</v>
      </c>
    </row>
    <row r="239" spans="1:7">
      <c r="A239" t="s">
        <v>298</v>
      </c>
      <c r="B239" s="2">
        <v>46259.461805555555</v>
      </c>
      <c r="C239" t="s">
        <v>59</v>
      </c>
      <c r="D239" t="s">
        <v>20</v>
      </c>
      <c r="E239" s="3">
        <v>6</v>
      </c>
      <c r="F239" t="s">
        <v>36</v>
      </c>
      <c r="G239" t="s">
        <v>73</v>
      </c>
    </row>
    <row r="240" spans="1:7">
      <c r="A240" t="s">
        <v>299</v>
      </c>
      <c r="B240" s="2">
        <v>46259.510416666664</v>
      </c>
      <c r="C240" t="s">
        <v>59</v>
      </c>
      <c r="D240" t="s">
        <v>28</v>
      </c>
      <c r="E240" s="3">
        <v>6</v>
      </c>
      <c r="F240" t="s">
        <v>40</v>
      </c>
      <c r="G240" t="s">
        <v>70</v>
      </c>
    </row>
    <row r="241" spans="1:7">
      <c r="A241" t="s">
        <v>300</v>
      </c>
      <c r="B241" s="2">
        <v>46259.527777777781</v>
      </c>
      <c r="C241" t="s">
        <v>59</v>
      </c>
      <c r="D241" t="s">
        <v>28</v>
      </c>
      <c r="E241" s="3">
        <v>2</v>
      </c>
      <c r="F241" t="s">
        <v>38</v>
      </c>
      <c r="G241" t="s">
        <v>60</v>
      </c>
    </row>
    <row r="242" spans="1:7">
      <c r="A242" t="s">
        <v>301</v>
      </c>
      <c r="B242" s="2">
        <v>46259.559027777781</v>
      </c>
      <c r="C242" t="s">
        <v>59</v>
      </c>
      <c r="D242" t="s">
        <v>9</v>
      </c>
      <c r="E242" s="3">
        <v>3</v>
      </c>
      <c r="F242" t="s">
        <v>34</v>
      </c>
      <c r="G242" t="s">
        <v>60</v>
      </c>
    </row>
    <row r="243" spans="1:7">
      <c r="A243" t="s">
        <v>302</v>
      </c>
      <c r="B243" s="2">
        <v>46259.590277777781</v>
      </c>
      <c r="C243" t="s">
        <v>59</v>
      </c>
      <c r="D243" t="s">
        <v>22</v>
      </c>
      <c r="E243" s="3">
        <v>3</v>
      </c>
      <c r="F243" t="s">
        <v>34</v>
      </c>
      <c r="G243" t="s">
        <v>70</v>
      </c>
    </row>
    <row r="244" spans="1:7">
      <c r="A244" t="s">
        <v>303</v>
      </c>
      <c r="B244" s="2">
        <v>46259.645833333336</v>
      </c>
      <c r="C244" t="s">
        <v>59</v>
      </c>
      <c r="D244" t="s">
        <v>14</v>
      </c>
      <c r="E244" s="3">
        <v>7</v>
      </c>
      <c r="F244" t="s">
        <v>38</v>
      </c>
      <c r="G244" t="s">
        <v>62</v>
      </c>
    </row>
    <row r="245" spans="1:7">
      <c r="A245" t="s">
        <v>304</v>
      </c>
      <c r="B245" s="2">
        <v>46259.826388888891</v>
      </c>
      <c r="C245" t="s">
        <v>52</v>
      </c>
      <c r="D245" t="s">
        <v>14</v>
      </c>
      <c r="E245" s="3">
        <v>14</v>
      </c>
      <c r="F245" t="s">
        <v>40</v>
      </c>
      <c r="G245" t="s">
        <v>81</v>
      </c>
    </row>
    <row r="246" spans="1:7">
      <c r="A246" t="s">
        <v>305</v>
      </c>
      <c r="B246" s="2">
        <v>46260.388888888891</v>
      </c>
      <c r="C246" t="s">
        <v>52</v>
      </c>
      <c r="D246" t="s">
        <v>17</v>
      </c>
      <c r="E246" s="3">
        <v>23</v>
      </c>
      <c r="F246" t="s">
        <v>36</v>
      </c>
      <c r="G246" t="s">
        <v>81</v>
      </c>
    </row>
    <row r="247" spans="1:7">
      <c r="A247" t="s">
        <v>306</v>
      </c>
      <c r="B247" s="2">
        <v>46260.416666666664</v>
      </c>
      <c r="C247" t="s">
        <v>59</v>
      </c>
      <c r="D247" t="s">
        <v>22</v>
      </c>
      <c r="E247" s="3">
        <v>6</v>
      </c>
      <c r="F247" t="s">
        <v>38</v>
      </c>
      <c r="G247" t="s">
        <v>73</v>
      </c>
    </row>
    <row r="248" spans="1:7">
      <c r="A248" t="s">
        <v>307</v>
      </c>
      <c r="B248" s="2">
        <v>46260.423611111109</v>
      </c>
      <c r="C248" t="s">
        <v>52</v>
      </c>
      <c r="D248" t="s">
        <v>5</v>
      </c>
      <c r="E248" s="3">
        <v>20</v>
      </c>
      <c r="F248" t="s">
        <v>42</v>
      </c>
      <c r="G248" t="s">
        <v>79</v>
      </c>
    </row>
    <row r="249" spans="1:7">
      <c r="A249" t="s">
        <v>308</v>
      </c>
      <c r="B249" s="2">
        <v>46260.447916666664</v>
      </c>
      <c r="C249" t="s">
        <v>59</v>
      </c>
      <c r="D249" t="s">
        <v>9</v>
      </c>
      <c r="E249" s="3">
        <v>1</v>
      </c>
      <c r="F249" t="s">
        <v>38</v>
      </c>
      <c r="G249" t="s">
        <v>62</v>
      </c>
    </row>
    <row r="250" spans="1:7">
      <c r="A250" t="s">
        <v>309</v>
      </c>
      <c r="B250" s="2">
        <v>46260.565972222219</v>
      </c>
      <c r="C250" t="s">
        <v>59</v>
      </c>
      <c r="D250" t="s">
        <v>14</v>
      </c>
      <c r="E250" s="3">
        <v>3</v>
      </c>
      <c r="F250" t="s">
        <v>42</v>
      </c>
      <c r="G250" t="s">
        <v>70</v>
      </c>
    </row>
    <row r="251" spans="1:7">
      <c r="A251" t="s">
        <v>310</v>
      </c>
      <c r="B251" s="2">
        <v>46260.583333333336</v>
      </c>
      <c r="C251" t="s">
        <v>59</v>
      </c>
      <c r="D251" t="s">
        <v>11</v>
      </c>
      <c r="E251" s="3">
        <v>2</v>
      </c>
      <c r="F251" t="s">
        <v>42</v>
      </c>
      <c r="G251" t="s">
        <v>62</v>
      </c>
    </row>
    <row r="252" spans="1:7">
      <c r="A252" t="s">
        <v>311</v>
      </c>
      <c r="B252" s="2">
        <v>46260.614583333336</v>
      </c>
      <c r="C252" t="s">
        <v>59</v>
      </c>
      <c r="D252" t="s">
        <v>22</v>
      </c>
      <c r="E252" s="3">
        <v>6</v>
      </c>
      <c r="F252" t="s">
        <v>38</v>
      </c>
      <c r="G252" t="s">
        <v>62</v>
      </c>
    </row>
    <row r="253" spans="1:7">
      <c r="A253" t="s">
        <v>312</v>
      </c>
      <c r="B253" s="2">
        <v>46260.701388888891</v>
      </c>
      <c r="C253" t="s">
        <v>52</v>
      </c>
      <c r="D253" t="s">
        <v>17</v>
      </c>
      <c r="E253" s="3">
        <v>23</v>
      </c>
      <c r="F253" t="s">
        <v>36</v>
      </c>
      <c r="G253" t="s">
        <v>86</v>
      </c>
    </row>
    <row r="254" spans="1:7">
      <c r="A254" t="s">
        <v>313</v>
      </c>
      <c r="B254" s="2">
        <v>46261.409722222219</v>
      </c>
      <c r="C254" t="s">
        <v>59</v>
      </c>
      <c r="D254" t="s">
        <v>9</v>
      </c>
      <c r="E254" s="3">
        <v>5</v>
      </c>
      <c r="F254" t="s">
        <v>40</v>
      </c>
      <c r="G254" t="s">
        <v>73</v>
      </c>
    </row>
    <row r="255" spans="1:7">
      <c r="A255" t="s">
        <v>314</v>
      </c>
      <c r="B255" s="2">
        <v>46261.409722222219</v>
      </c>
      <c r="C255" t="s">
        <v>52</v>
      </c>
      <c r="D255" t="s">
        <v>28</v>
      </c>
      <c r="E255" s="3">
        <v>32</v>
      </c>
      <c r="F255" t="s">
        <v>34</v>
      </c>
      <c r="G255" t="s">
        <v>81</v>
      </c>
    </row>
    <row r="256" spans="1:7">
      <c r="A256" t="s">
        <v>315</v>
      </c>
      <c r="B256" s="2">
        <v>46261.475694444445</v>
      </c>
      <c r="C256" t="s">
        <v>59</v>
      </c>
      <c r="D256" t="s">
        <v>28</v>
      </c>
      <c r="E256" s="3">
        <v>3</v>
      </c>
      <c r="F256" t="s">
        <v>34</v>
      </c>
      <c r="G256" t="s">
        <v>62</v>
      </c>
    </row>
    <row r="257" spans="1:7">
      <c r="A257" t="s">
        <v>316</v>
      </c>
      <c r="B257" s="2">
        <v>46261.503472222219</v>
      </c>
      <c r="C257" t="s">
        <v>59</v>
      </c>
      <c r="D257" t="s">
        <v>14</v>
      </c>
      <c r="E257" s="3">
        <v>7</v>
      </c>
      <c r="F257" t="s">
        <v>36</v>
      </c>
      <c r="G257" t="s">
        <v>70</v>
      </c>
    </row>
    <row r="258" spans="1:7">
      <c r="A258" t="s">
        <v>317</v>
      </c>
      <c r="B258" s="2">
        <v>46261.503472222219</v>
      </c>
      <c r="C258" t="s">
        <v>59</v>
      </c>
      <c r="D258" t="s">
        <v>5</v>
      </c>
      <c r="E258" s="3">
        <v>4</v>
      </c>
      <c r="F258" t="s">
        <v>34</v>
      </c>
      <c r="G258" t="s">
        <v>73</v>
      </c>
    </row>
    <row r="259" spans="1:7">
      <c r="A259" t="s">
        <v>318</v>
      </c>
      <c r="B259" s="2">
        <v>46261.524305555555</v>
      </c>
      <c r="C259" t="s">
        <v>59</v>
      </c>
      <c r="D259" t="s">
        <v>11</v>
      </c>
      <c r="E259" s="3">
        <v>7</v>
      </c>
      <c r="F259" t="s">
        <v>38</v>
      </c>
      <c r="G259" t="s">
        <v>73</v>
      </c>
    </row>
    <row r="260" spans="1:7">
      <c r="A260" t="s">
        <v>319</v>
      </c>
      <c r="B260" s="2">
        <v>46261.53125</v>
      </c>
      <c r="C260" t="s">
        <v>52</v>
      </c>
      <c r="D260" t="s">
        <v>30</v>
      </c>
      <c r="E260" s="3">
        <v>33</v>
      </c>
      <c r="F260" t="s">
        <v>42</v>
      </c>
      <c r="G260" t="s">
        <v>79</v>
      </c>
    </row>
    <row r="261" spans="1:7">
      <c r="A261" t="s">
        <v>320</v>
      </c>
      <c r="B261" s="2">
        <v>46261.579861111109</v>
      </c>
      <c r="C261" t="s">
        <v>52</v>
      </c>
      <c r="D261" t="s">
        <v>22</v>
      </c>
      <c r="E261" s="3">
        <v>21</v>
      </c>
      <c r="F261" t="s">
        <v>34</v>
      </c>
      <c r="G261" t="s">
        <v>86</v>
      </c>
    </row>
    <row r="262" spans="1:7">
      <c r="A262" t="s">
        <v>321</v>
      </c>
      <c r="B262" s="2">
        <v>46261.6875</v>
      </c>
      <c r="C262" t="s">
        <v>59</v>
      </c>
      <c r="D262" t="s">
        <v>22</v>
      </c>
      <c r="E262" s="3">
        <v>6</v>
      </c>
      <c r="F262" t="s">
        <v>34</v>
      </c>
      <c r="G262" t="s">
        <v>73</v>
      </c>
    </row>
    <row r="263" spans="1:7">
      <c r="A263" t="s">
        <v>322</v>
      </c>
      <c r="B263" s="2">
        <v>46261.777777777781</v>
      </c>
      <c r="C263" t="s">
        <v>59</v>
      </c>
      <c r="D263" t="s">
        <v>22</v>
      </c>
      <c r="E263" s="3">
        <v>3</v>
      </c>
      <c r="F263" t="s">
        <v>40</v>
      </c>
      <c r="G263" t="s">
        <v>62</v>
      </c>
    </row>
    <row r="264" spans="1:7">
      <c r="A264" t="s">
        <v>323</v>
      </c>
      <c r="B264" s="2">
        <v>46262.375</v>
      </c>
      <c r="C264" t="s">
        <v>59</v>
      </c>
      <c r="D264" t="s">
        <v>17</v>
      </c>
      <c r="E264" s="3">
        <v>8</v>
      </c>
      <c r="F264" t="s">
        <v>38</v>
      </c>
      <c r="G264" t="s">
        <v>70</v>
      </c>
    </row>
    <row r="265" spans="1:7">
      <c r="A265" t="s">
        <v>324</v>
      </c>
      <c r="B265" s="2">
        <v>46262.4375</v>
      </c>
      <c r="C265" t="s">
        <v>59</v>
      </c>
      <c r="D265" t="s">
        <v>11</v>
      </c>
      <c r="E265" s="3">
        <v>8</v>
      </c>
      <c r="F265" t="s">
        <v>42</v>
      </c>
      <c r="G265" t="s">
        <v>73</v>
      </c>
    </row>
    <row r="266" spans="1:7">
      <c r="A266" t="s">
        <v>325</v>
      </c>
      <c r="B266" s="2">
        <v>46262.534722222219</v>
      </c>
      <c r="C266" t="s">
        <v>59</v>
      </c>
      <c r="D266" t="s">
        <v>22</v>
      </c>
      <c r="E266" s="3">
        <v>1</v>
      </c>
      <c r="F266" t="s">
        <v>34</v>
      </c>
      <c r="G266" t="s">
        <v>70</v>
      </c>
    </row>
    <row r="267" spans="1:7">
      <c r="A267" t="s">
        <v>326</v>
      </c>
      <c r="B267" s="2">
        <v>46262.541666666664</v>
      </c>
      <c r="C267" t="s">
        <v>59</v>
      </c>
      <c r="D267" t="s">
        <v>22</v>
      </c>
      <c r="E267" s="3">
        <v>2</v>
      </c>
      <c r="F267" t="s">
        <v>34</v>
      </c>
      <c r="G267" t="s">
        <v>73</v>
      </c>
    </row>
    <row r="268" spans="1:7">
      <c r="A268" t="s">
        <v>327</v>
      </c>
      <c r="B268" s="2">
        <v>46262.559027777781</v>
      </c>
      <c r="C268" t="s">
        <v>52</v>
      </c>
      <c r="D268" t="s">
        <v>17</v>
      </c>
      <c r="E268" s="3">
        <v>26</v>
      </c>
      <c r="F268" t="s">
        <v>34</v>
      </c>
      <c r="G268" t="s">
        <v>86</v>
      </c>
    </row>
    <row r="269" spans="1:7">
      <c r="A269" t="s">
        <v>328</v>
      </c>
      <c r="B269" s="2">
        <v>46262.638888888891</v>
      </c>
      <c r="C269" t="s">
        <v>59</v>
      </c>
      <c r="D269" t="s">
        <v>17</v>
      </c>
      <c r="E269" s="3">
        <v>5</v>
      </c>
      <c r="F269" t="s">
        <v>34</v>
      </c>
      <c r="G269" t="s">
        <v>62</v>
      </c>
    </row>
    <row r="270" spans="1:7">
      <c r="A270" t="s">
        <v>329</v>
      </c>
      <c r="B270" s="2">
        <v>46262.708333333336</v>
      </c>
      <c r="C270" t="s">
        <v>59</v>
      </c>
      <c r="D270" t="s">
        <v>26</v>
      </c>
      <c r="E270" s="3">
        <v>5</v>
      </c>
      <c r="F270" t="s">
        <v>36</v>
      </c>
      <c r="G270" t="s">
        <v>62</v>
      </c>
    </row>
    <row r="271" spans="1:7">
      <c r="A271" t="s">
        <v>330</v>
      </c>
      <c r="B271" s="2">
        <v>46262.711805555555</v>
      </c>
      <c r="C271" t="s">
        <v>59</v>
      </c>
      <c r="D271" t="s">
        <v>5</v>
      </c>
      <c r="E271" s="3">
        <v>4</v>
      </c>
      <c r="F271" t="s">
        <v>34</v>
      </c>
      <c r="G271" t="s">
        <v>62</v>
      </c>
    </row>
    <row r="272" spans="1:7">
      <c r="A272" t="s">
        <v>331</v>
      </c>
      <c r="B272" s="2">
        <v>46262.725694444445</v>
      </c>
      <c r="C272" t="s">
        <v>59</v>
      </c>
      <c r="D272" t="s">
        <v>11</v>
      </c>
      <c r="E272" s="3">
        <v>7</v>
      </c>
      <c r="F272" t="s">
        <v>36</v>
      </c>
      <c r="G272" t="s">
        <v>73</v>
      </c>
    </row>
    <row r="273" spans="1:7">
      <c r="A273" t="s">
        <v>332</v>
      </c>
      <c r="B273" s="2">
        <v>46262.822916666664</v>
      </c>
      <c r="C273" t="s">
        <v>59</v>
      </c>
      <c r="D273" t="s">
        <v>11</v>
      </c>
      <c r="E273" s="3">
        <v>3</v>
      </c>
      <c r="F273" t="s">
        <v>36</v>
      </c>
      <c r="G273" t="s">
        <v>60</v>
      </c>
    </row>
    <row r="274" spans="1:7">
      <c r="A274" t="s">
        <v>333</v>
      </c>
      <c r="B274" s="2">
        <v>46262.829861111109</v>
      </c>
      <c r="C274" t="s">
        <v>59</v>
      </c>
      <c r="D274" t="s">
        <v>22</v>
      </c>
      <c r="E274" s="3">
        <v>6</v>
      </c>
      <c r="F274" t="s">
        <v>38</v>
      </c>
      <c r="G274" t="s">
        <v>60</v>
      </c>
    </row>
    <row r="275" spans="1:7">
      <c r="A275" t="s">
        <v>334</v>
      </c>
      <c r="B275" s="2">
        <v>46263.475694444445</v>
      </c>
      <c r="C275" t="s">
        <v>52</v>
      </c>
      <c r="D275" t="s">
        <v>20</v>
      </c>
      <c r="E275" s="3">
        <v>20</v>
      </c>
      <c r="F275" t="s">
        <v>42</v>
      </c>
      <c r="G275" t="s">
        <v>81</v>
      </c>
    </row>
    <row r="276" spans="1:7">
      <c r="A276" t="s">
        <v>335</v>
      </c>
      <c r="B276" s="2">
        <v>46263.479166666664</v>
      </c>
      <c r="C276" t="s">
        <v>59</v>
      </c>
      <c r="D276" t="s">
        <v>20</v>
      </c>
      <c r="E276" s="3">
        <v>1</v>
      </c>
      <c r="F276" t="s">
        <v>36</v>
      </c>
      <c r="G276" t="s">
        <v>70</v>
      </c>
    </row>
    <row r="277" spans="1:7">
      <c r="A277" t="s">
        <v>336</v>
      </c>
      <c r="B277" s="2">
        <v>46263.53125</v>
      </c>
      <c r="C277" t="s">
        <v>59</v>
      </c>
      <c r="D277" t="s">
        <v>5</v>
      </c>
      <c r="E277" s="3">
        <v>5</v>
      </c>
      <c r="F277" t="s">
        <v>34</v>
      </c>
      <c r="G277" t="s">
        <v>73</v>
      </c>
    </row>
    <row r="278" spans="1:7">
      <c r="A278" t="s">
        <v>337</v>
      </c>
      <c r="B278" s="2">
        <v>46263.631944444445</v>
      </c>
      <c r="C278" t="s">
        <v>52</v>
      </c>
      <c r="D278" t="s">
        <v>30</v>
      </c>
      <c r="E278" s="3">
        <v>12</v>
      </c>
      <c r="F278" t="s">
        <v>38</v>
      </c>
      <c r="G278" t="s">
        <v>81</v>
      </c>
    </row>
    <row r="279" spans="1:7">
      <c r="A279" t="s">
        <v>338</v>
      </c>
      <c r="B279" s="2">
        <v>46263.673611111109</v>
      </c>
      <c r="C279" t="s">
        <v>52</v>
      </c>
      <c r="D279" t="s">
        <v>22</v>
      </c>
      <c r="E279" s="3">
        <v>33</v>
      </c>
      <c r="F279" t="s">
        <v>38</v>
      </c>
      <c r="G279" t="s">
        <v>81</v>
      </c>
    </row>
    <row r="280" spans="1:7">
      <c r="A280" t="s">
        <v>339</v>
      </c>
      <c r="B280" s="2">
        <v>46263.680555555555</v>
      </c>
      <c r="C280" t="s">
        <v>59</v>
      </c>
      <c r="D280" t="s">
        <v>17</v>
      </c>
      <c r="E280" s="3">
        <v>8</v>
      </c>
      <c r="F280" t="s">
        <v>38</v>
      </c>
      <c r="G280" t="s">
        <v>70</v>
      </c>
    </row>
    <row r="281" spans="1:7">
      <c r="A281" t="s">
        <v>340</v>
      </c>
      <c r="B281" s="2">
        <v>46263.684027777781</v>
      </c>
      <c r="C281" t="s">
        <v>59</v>
      </c>
      <c r="D281" t="s">
        <v>30</v>
      </c>
      <c r="E281" s="3">
        <v>8</v>
      </c>
      <c r="F281" t="s">
        <v>42</v>
      </c>
      <c r="G281" t="s">
        <v>60</v>
      </c>
    </row>
    <row r="282" spans="1:7">
      <c r="A282" t="s">
        <v>341</v>
      </c>
      <c r="B282" s="2">
        <v>46263.71875</v>
      </c>
      <c r="C282" t="s">
        <v>52</v>
      </c>
      <c r="D282" t="s">
        <v>14</v>
      </c>
      <c r="E282" s="3">
        <v>8</v>
      </c>
      <c r="F282" t="s">
        <v>42</v>
      </c>
      <c r="G282" t="s">
        <v>81</v>
      </c>
    </row>
    <row r="283" spans="1:7">
      <c r="A283" t="s">
        <v>342</v>
      </c>
      <c r="B283" s="2">
        <v>46263.732638888891</v>
      </c>
      <c r="C283" t="s">
        <v>59</v>
      </c>
      <c r="D283" t="s">
        <v>30</v>
      </c>
      <c r="E283" s="3">
        <v>2</v>
      </c>
      <c r="F283" t="s">
        <v>36</v>
      </c>
      <c r="G283" t="s">
        <v>73</v>
      </c>
    </row>
    <row r="284" spans="1:7">
      <c r="A284" t="s">
        <v>343</v>
      </c>
      <c r="B284" s="2">
        <v>46263.746527777781</v>
      </c>
      <c r="C284" t="s">
        <v>59</v>
      </c>
      <c r="D284" t="s">
        <v>26</v>
      </c>
      <c r="E284" s="3">
        <v>7</v>
      </c>
      <c r="F284" t="s">
        <v>34</v>
      </c>
      <c r="G284" t="s">
        <v>70</v>
      </c>
    </row>
    <row r="285" spans="1:7">
      <c r="A285" t="s">
        <v>344</v>
      </c>
      <c r="B285" s="2">
        <v>46264.517361111109</v>
      </c>
      <c r="C285" t="s">
        <v>59</v>
      </c>
      <c r="D285" t="s">
        <v>9</v>
      </c>
      <c r="E285" s="3">
        <v>4</v>
      </c>
      <c r="F285" t="s">
        <v>34</v>
      </c>
      <c r="G285" t="s">
        <v>73</v>
      </c>
    </row>
    <row r="286" spans="1:7">
      <c r="A286" t="s">
        <v>345</v>
      </c>
      <c r="B286" s="2">
        <v>46264.520833333336</v>
      </c>
      <c r="C286" t="s">
        <v>52</v>
      </c>
      <c r="D286" t="s">
        <v>30</v>
      </c>
      <c r="E286" s="3">
        <v>29</v>
      </c>
      <c r="F286" t="s">
        <v>36</v>
      </c>
      <c r="G286" t="s">
        <v>86</v>
      </c>
    </row>
    <row r="287" spans="1:7">
      <c r="A287" t="s">
        <v>346</v>
      </c>
      <c r="B287" s="2">
        <v>46264.559027777781</v>
      </c>
      <c r="C287" t="s">
        <v>52</v>
      </c>
      <c r="D287" t="s">
        <v>20</v>
      </c>
      <c r="E287" s="3">
        <v>21</v>
      </c>
      <c r="F287" t="s">
        <v>42</v>
      </c>
      <c r="G287" t="s">
        <v>86</v>
      </c>
    </row>
    <row r="288" spans="1:7">
      <c r="A288" t="s">
        <v>347</v>
      </c>
      <c r="B288" s="2">
        <v>46264.642361111109</v>
      </c>
      <c r="C288" t="s">
        <v>59</v>
      </c>
      <c r="D288" t="s">
        <v>11</v>
      </c>
      <c r="E288" s="3">
        <v>8</v>
      </c>
      <c r="F288" t="s">
        <v>36</v>
      </c>
      <c r="G288" t="s">
        <v>70</v>
      </c>
    </row>
    <row r="289" spans="1:7">
      <c r="A289" t="s">
        <v>348</v>
      </c>
      <c r="B289" s="2">
        <v>46264.663194444445</v>
      </c>
      <c r="C289" t="s">
        <v>52</v>
      </c>
      <c r="D289" t="s">
        <v>11</v>
      </c>
      <c r="E289" s="3">
        <v>8</v>
      </c>
      <c r="F289" t="s">
        <v>36</v>
      </c>
      <c r="G289" t="s">
        <v>86</v>
      </c>
    </row>
    <row r="290" spans="1:7">
      <c r="A290" t="s">
        <v>349</v>
      </c>
      <c r="B290" s="2">
        <v>46264.670138888891</v>
      </c>
      <c r="C290" t="s">
        <v>52</v>
      </c>
      <c r="D290" t="s">
        <v>26</v>
      </c>
      <c r="E290" s="3">
        <v>35</v>
      </c>
      <c r="F290" t="s">
        <v>36</v>
      </c>
      <c r="G290" t="s">
        <v>86</v>
      </c>
    </row>
    <row r="291" spans="1:7">
      <c r="A291" t="s">
        <v>350</v>
      </c>
      <c r="B291" s="2">
        <v>46264.725694444445</v>
      </c>
      <c r="C291" t="s">
        <v>59</v>
      </c>
      <c r="D291" t="s">
        <v>9</v>
      </c>
      <c r="E291" s="3">
        <v>8</v>
      </c>
      <c r="F291" t="s">
        <v>40</v>
      </c>
      <c r="G291" t="s">
        <v>73</v>
      </c>
    </row>
  </sheetData>
  <dataValidations count="1">
    <dataValidation type="list" sqref="C2:C291" xr:uid="{00000000-0002-0000-0200-000000000000}">
      <formula1>"เข้า,ออก"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3.8"/>
  <cols>
    <col min="1" max="1" width="14" customWidth="1"/>
    <col min="2" max="2" width="26" customWidth="1"/>
    <col min="3" max="3" width="12" customWidth="1"/>
    <col min="4" max="4" width="18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20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15</v>
      </c>
    </row>
    <row r="4" spans="1:5">
      <c r="A4" t="s">
        <v>11</v>
      </c>
      <c r="B4" t="s">
        <v>12</v>
      </c>
      <c r="C4" t="s">
        <v>13</v>
      </c>
      <c r="D4" t="s">
        <v>8</v>
      </c>
      <c r="E4">
        <v>25</v>
      </c>
    </row>
    <row r="5" spans="1:5">
      <c r="A5" t="s">
        <v>14</v>
      </c>
      <c r="B5" t="s">
        <v>15</v>
      </c>
      <c r="C5" t="s">
        <v>16</v>
      </c>
      <c r="D5" t="s">
        <v>8</v>
      </c>
      <c r="E5">
        <v>18</v>
      </c>
    </row>
    <row r="6" spans="1:5">
      <c r="A6" t="s">
        <v>17</v>
      </c>
      <c r="B6" t="s">
        <v>18</v>
      </c>
      <c r="C6" t="s">
        <v>19</v>
      </c>
      <c r="D6" t="s">
        <v>8</v>
      </c>
      <c r="E6">
        <v>12</v>
      </c>
    </row>
    <row r="7" spans="1:5">
      <c r="A7" t="s">
        <v>20</v>
      </c>
      <c r="B7" t="s">
        <v>21</v>
      </c>
      <c r="C7" t="s">
        <v>16</v>
      </c>
      <c r="D7" t="s">
        <v>8</v>
      </c>
      <c r="E7">
        <v>8</v>
      </c>
    </row>
    <row r="8" spans="1:5">
      <c r="A8" t="s">
        <v>22</v>
      </c>
      <c r="B8" t="s">
        <v>23</v>
      </c>
      <c r="C8" t="s">
        <v>24</v>
      </c>
      <c r="D8" t="s">
        <v>25</v>
      </c>
      <c r="E8">
        <v>10</v>
      </c>
    </row>
    <row r="9" spans="1:5">
      <c r="A9" t="s">
        <v>26</v>
      </c>
      <c r="B9" t="s">
        <v>27</v>
      </c>
      <c r="C9" t="s">
        <v>24</v>
      </c>
      <c r="D9" t="s">
        <v>25</v>
      </c>
      <c r="E9">
        <v>10</v>
      </c>
    </row>
    <row r="10" spans="1:5">
      <c r="A10" t="s">
        <v>28</v>
      </c>
      <c r="B10" t="s">
        <v>29</v>
      </c>
      <c r="C10" t="s">
        <v>24</v>
      </c>
      <c r="D10" t="s">
        <v>25</v>
      </c>
      <c r="E10">
        <v>8</v>
      </c>
    </row>
    <row r="11" spans="1:5">
      <c r="A11" t="s">
        <v>30</v>
      </c>
      <c r="B11" t="s">
        <v>31</v>
      </c>
      <c r="C11" t="s">
        <v>24</v>
      </c>
      <c r="D11" t="s">
        <v>25</v>
      </c>
      <c r="E11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8"/>
  <cols>
    <col min="1" max="1" width="14" customWidth="1"/>
    <col min="2" max="2" width="22" customWidth="1"/>
  </cols>
  <sheetData>
    <row r="1" spans="1:2">
      <c r="A1" s="1" t="s">
        <v>32</v>
      </c>
      <c r="B1" s="1" t="s">
        <v>33</v>
      </c>
    </row>
    <row r="2" spans="1:2">
      <c r="A2" t="s">
        <v>34</v>
      </c>
      <c r="B2" t="s">
        <v>35</v>
      </c>
    </row>
    <row r="3" spans="1:2">
      <c r="A3" t="s">
        <v>36</v>
      </c>
      <c r="B3" t="s">
        <v>37</v>
      </c>
    </row>
    <row r="4" spans="1:2">
      <c r="A4" t="s">
        <v>38</v>
      </c>
      <c r="B4" t="s">
        <v>39</v>
      </c>
    </row>
    <row r="5" spans="1:2">
      <c r="A5" t="s">
        <v>40</v>
      </c>
      <c r="B5" t="s">
        <v>41</v>
      </c>
    </row>
    <row r="6" spans="1:2">
      <c r="A6" t="s">
        <v>42</v>
      </c>
      <c r="B6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F2" sqref="F2"/>
    </sheetView>
  </sheetViews>
  <sheetFormatPr defaultRowHeight="13.8"/>
  <cols>
    <col min="1" max="1" width="14" customWidth="1"/>
    <col min="2" max="2" width="26" customWidth="1"/>
    <col min="3" max="3" width="12" customWidth="1"/>
    <col min="4" max="7" width="14" customWidth="1"/>
    <col min="8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351</v>
      </c>
      <c r="F1" s="1" t="s">
        <v>352</v>
      </c>
      <c r="G1" s="1" t="s">
        <v>353</v>
      </c>
      <c r="H1" s="1" t="s">
        <v>354</v>
      </c>
    </row>
    <row r="2" spans="1:8">
      <c r="A2" t="s">
        <v>5</v>
      </c>
      <c r="B2" t="s">
        <v>6</v>
      </c>
      <c r="C2" t="s">
        <v>7</v>
      </c>
      <c r="D2">
        <v>20</v>
      </c>
      <c r="E2">
        <f>SUMIFS(Transactions!$E$2:$E$291,Transactions!$D$2:$D$291,A2,Transactions!$C$2:$C$291,"เข้า")</f>
        <v>264</v>
      </c>
      <c r="F2">
        <f>SUMIFS(Transactions!$E$2:$E$291,Transactions!$D$2:$D$291,A2,Transactions!$C$2:$C$291,"ออก")</f>
        <v>88</v>
      </c>
      <c r="G2">
        <f t="shared" ref="G2:G11" si="0">E2-F2</f>
        <v>176</v>
      </c>
      <c r="H2" t="str">
        <f t="shared" ref="H2:H11" si="1">IF(G2&lt;=D2,"ควรเติมสินค้า","ปกติ")</f>
        <v>ปกติ</v>
      </c>
    </row>
    <row r="3" spans="1:8">
      <c r="A3" t="s">
        <v>9</v>
      </c>
      <c r="B3" t="s">
        <v>10</v>
      </c>
      <c r="C3" t="s">
        <v>7</v>
      </c>
      <c r="D3">
        <v>15</v>
      </c>
      <c r="E3">
        <f>SUMIFS(Transactions!$E$2:$E$291,Transactions!$D$2:$D$291,A3,Transactions!$C$2:$C$291,"เข้า")</f>
        <v>299</v>
      </c>
      <c r="F3">
        <f>SUMIFS(Transactions!$E$2:$E$291,Transactions!$D$2:$D$291,A3,Transactions!$C$2:$C$291,"ออก")</f>
        <v>92</v>
      </c>
      <c r="G3">
        <f t="shared" si="0"/>
        <v>207</v>
      </c>
      <c r="H3" t="str">
        <f t="shared" si="1"/>
        <v>ปกติ</v>
      </c>
    </row>
    <row r="4" spans="1:8">
      <c r="A4" t="s">
        <v>11</v>
      </c>
      <c r="B4" t="s">
        <v>12</v>
      </c>
      <c r="C4" t="s">
        <v>13</v>
      </c>
      <c r="D4">
        <v>25</v>
      </c>
      <c r="E4">
        <f>SUMIFS(Transactions!$E$2:$E$291,Transactions!$D$2:$D$291,A4,Transactions!$C$2:$C$291,"เข้า")</f>
        <v>277</v>
      </c>
      <c r="F4">
        <f>SUMIFS(Transactions!$E$2:$E$291,Transactions!$D$2:$D$291,A4,Transactions!$C$2:$C$291,"ออก")</f>
        <v>122</v>
      </c>
      <c r="G4">
        <f t="shared" si="0"/>
        <v>155</v>
      </c>
      <c r="H4" t="str">
        <f t="shared" si="1"/>
        <v>ปกติ</v>
      </c>
    </row>
    <row r="5" spans="1:8">
      <c r="A5" t="s">
        <v>14</v>
      </c>
      <c r="B5" t="s">
        <v>15</v>
      </c>
      <c r="C5" t="s">
        <v>16</v>
      </c>
      <c r="D5">
        <v>18</v>
      </c>
      <c r="E5">
        <f>SUMIFS(Transactions!$E$2:$E$291,Transactions!$D$2:$D$291,A5,Transactions!$C$2:$C$291,"เข้า")</f>
        <v>297</v>
      </c>
      <c r="F5">
        <f>SUMIFS(Transactions!$E$2:$E$291,Transactions!$D$2:$D$291,A5,Transactions!$C$2:$C$291,"ออก")</f>
        <v>74</v>
      </c>
      <c r="G5">
        <f t="shared" si="0"/>
        <v>223</v>
      </c>
      <c r="H5" t="str">
        <f t="shared" si="1"/>
        <v>ปกติ</v>
      </c>
    </row>
    <row r="6" spans="1:8">
      <c r="A6" t="s">
        <v>17</v>
      </c>
      <c r="B6" t="s">
        <v>18</v>
      </c>
      <c r="C6" t="s">
        <v>19</v>
      </c>
      <c r="D6">
        <v>12</v>
      </c>
      <c r="E6">
        <f>SUMIFS(Transactions!$E$2:$E$291,Transactions!$D$2:$D$291,A6,Transactions!$C$2:$C$291,"เข้า")</f>
        <v>285</v>
      </c>
      <c r="F6">
        <f>SUMIFS(Transactions!$E$2:$E$291,Transactions!$D$2:$D$291,A6,Transactions!$C$2:$C$291,"ออก")</f>
        <v>109</v>
      </c>
      <c r="G6">
        <f t="shared" si="0"/>
        <v>176</v>
      </c>
      <c r="H6" t="str">
        <f t="shared" si="1"/>
        <v>ปกติ</v>
      </c>
    </row>
    <row r="7" spans="1:8">
      <c r="A7" t="s">
        <v>20</v>
      </c>
      <c r="B7" t="s">
        <v>21</v>
      </c>
      <c r="C7" t="s">
        <v>16</v>
      </c>
      <c r="D7">
        <v>8</v>
      </c>
      <c r="E7">
        <f>SUMIFS(Transactions!$E$2:$E$291,Transactions!$D$2:$D$291,A7,Transactions!$C$2:$C$291,"เข้า")</f>
        <v>161</v>
      </c>
      <c r="F7">
        <f>SUMIFS(Transactions!$E$2:$E$291,Transactions!$D$2:$D$291,A7,Transactions!$C$2:$C$291,"ออก")</f>
        <v>91</v>
      </c>
      <c r="G7">
        <f t="shared" si="0"/>
        <v>70</v>
      </c>
      <c r="H7" t="str">
        <f t="shared" si="1"/>
        <v>ปกติ</v>
      </c>
    </row>
    <row r="8" spans="1:8">
      <c r="A8" t="s">
        <v>22</v>
      </c>
      <c r="B8" t="s">
        <v>23</v>
      </c>
      <c r="C8" t="s">
        <v>24</v>
      </c>
      <c r="D8">
        <v>10</v>
      </c>
      <c r="E8">
        <f>SUMIFS(Transactions!$E$2:$E$291,Transactions!$D$2:$D$291,A8,Transactions!$C$2:$C$291,"เข้า")</f>
        <v>297</v>
      </c>
      <c r="F8">
        <f>SUMIFS(Transactions!$E$2:$E$291,Transactions!$D$2:$D$291,A8,Transactions!$C$2:$C$291,"ออก")</f>
        <v>132</v>
      </c>
      <c r="G8">
        <f t="shared" si="0"/>
        <v>165</v>
      </c>
      <c r="H8" t="str">
        <f t="shared" si="1"/>
        <v>ปกติ</v>
      </c>
    </row>
    <row r="9" spans="1:8">
      <c r="A9" t="s">
        <v>26</v>
      </c>
      <c r="B9" t="s">
        <v>27</v>
      </c>
      <c r="C9" t="s">
        <v>24</v>
      </c>
      <c r="D9">
        <v>10</v>
      </c>
      <c r="E9">
        <f>SUMIFS(Transactions!$E$2:$E$291,Transactions!$D$2:$D$291,A9,Transactions!$C$2:$C$291,"เข้า")</f>
        <v>255</v>
      </c>
      <c r="F9">
        <f>SUMIFS(Transactions!$E$2:$E$291,Transactions!$D$2:$D$291,A9,Transactions!$C$2:$C$291,"ออก")</f>
        <v>60</v>
      </c>
      <c r="G9">
        <f t="shared" si="0"/>
        <v>195</v>
      </c>
      <c r="H9" t="str">
        <f t="shared" si="1"/>
        <v>ปกติ</v>
      </c>
    </row>
    <row r="10" spans="1:8">
      <c r="A10" t="s">
        <v>28</v>
      </c>
      <c r="B10" t="s">
        <v>29</v>
      </c>
      <c r="C10" t="s">
        <v>24</v>
      </c>
      <c r="D10">
        <v>8</v>
      </c>
      <c r="E10">
        <f>SUMIFS(Transactions!$E$2:$E$291,Transactions!$D$2:$D$291,A10,Transactions!$C$2:$C$291,"เข้า")</f>
        <v>214</v>
      </c>
      <c r="F10">
        <f>SUMIFS(Transactions!$E$2:$E$291,Transactions!$D$2:$D$291,A10,Transactions!$C$2:$C$291,"ออก")</f>
        <v>85</v>
      </c>
      <c r="G10">
        <f t="shared" si="0"/>
        <v>129</v>
      </c>
      <c r="H10" t="str">
        <f t="shared" si="1"/>
        <v>ปกติ</v>
      </c>
    </row>
    <row r="11" spans="1:8">
      <c r="A11" t="s">
        <v>30</v>
      </c>
      <c r="B11" t="s">
        <v>31</v>
      </c>
      <c r="C11" t="s">
        <v>24</v>
      </c>
      <c r="D11">
        <v>6</v>
      </c>
      <c r="E11">
        <f>SUMIFS(Transactions!$E$2:$E$291,Transactions!$D$2:$D$291,A11,Transactions!$C$2:$C$291,"เข้า")</f>
        <v>307</v>
      </c>
      <c r="F11">
        <f>SUMIFS(Transactions!$E$2:$E$291,Transactions!$D$2:$D$291,A11,Transactions!$C$2:$C$291,"ออก")</f>
        <v>69</v>
      </c>
      <c r="G11">
        <f t="shared" si="0"/>
        <v>238</v>
      </c>
      <c r="H11" t="str">
        <f t="shared" si="1"/>
        <v>ปกติ</v>
      </c>
    </row>
  </sheetData>
  <conditionalFormatting sqref="H2:H11">
    <cfRule type="expression" dxfId="0" priority="1">
      <formula>H2="ควรเติมสินค้า"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D1"/>
    </sheetView>
  </sheetViews>
  <sheetFormatPr defaultRowHeight="13.8"/>
  <cols>
    <col min="1" max="1" width="24" customWidth="1"/>
    <col min="2" max="2" width="78" customWidth="1"/>
  </cols>
  <sheetData>
    <row r="1" spans="1:4" ht="19.2" customHeight="1">
      <c r="A1" s="6" t="s">
        <v>355</v>
      </c>
      <c r="B1" s="6"/>
      <c r="C1" s="7"/>
      <c r="D1" s="7"/>
    </row>
    <row r="2" spans="1:4" ht="19.2" customHeight="1">
      <c r="A2" s="4"/>
      <c r="B2" s="4"/>
    </row>
    <row r="3" spans="1:4" ht="19.2" customHeight="1">
      <c r="A3" s="5" t="s">
        <v>356</v>
      </c>
      <c r="B3" s="5" t="s">
        <v>357</v>
      </c>
    </row>
    <row r="4" spans="1:4" ht="19.2" customHeight="1">
      <c r="A4" s="4" t="s">
        <v>358</v>
      </c>
      <c r="B4" s="4" t="s">
        <v>359</v>
      </c>
    </row>
    <row r="5" spans="1:4" ht="19.2" customHeight="1">
      <c r="A5" s="4" t="s">
        <v>360</v>
      </c>
      <c r="B5" s="4" t="s">
        <v>361</v>
      </c>
    </row>
    <row r="6" spans="1:4" ht="19.2" customHeight="1">
      <c r="A6" s="4" t="s">
        <v>362</v>
      </c>
      <c r="B6" s="4" t="s">
        <v>363</v>
      </c>
    </row>
    <row r="7" spans="1:4" ht="19.2" customHeight="1">
      <c r="A7" s="4" t="s">
        <v>364</v>
      </c>
      <c r="B7" s="4" t="s">
        <v>365</v>
      </c>
    </row>
    <row r="8" spans="1:4" ht="19.2" customHeight="1">
      <c r="A8" s="4" t="s">
        <v>366</v>
      </c>
      <c r="B8" s="4" t="s">
        <v>367</v>
      </c>
    </row>
    <row r="9" spans="1:4" ht="19.2" customHeight="1">
      <c r="A9" s="4"/>
      <c r="B9" s="4"/>
    </row>
    <row r="10" spans="1:4" ht="19.2" customHeight="1">
      <c r="A10" s="5" t="s">
        <v>368</v>
      </c>
      <c r="B10" s="5" t="s">
        <v>369</v>
      </c>
    </row>
    <row r="11" spans="1:4" ht="19.2" customHeight="1">
      <c r="A11" s="4" t="s">
        <v>370</v>
      </c>
      <c r="B11" s="4" t="s">
        <v>371</v>
      </c>
    </row>
    <row r="12" spans="1:4" ht="19.2" customHeight="1">
      <c r="A12" s="4" t="s">
        <v>372</v>
      </c>
      <c r="B12" s="4" t="s">
        <v>373</v>
      </c>
    </row>
    <row r="13" spans="1:4" ht="19.2" customHeight="1">
      <c r="A13" s="4" t="s">
        <v>374</v>
      </c>
      <c r="B13" s="4" t="s">
        <v>375</v>
      </c>
    </row>
    <row r="14" spans="1:4" ht="19.2" customHeight="1">
      <c r="A14" s="4" t="s">
        <v>376</v>
      </c>
      <c r="B14" s="4" t="s">
        <v>377</v>
      </c>
    </row>
    <row r="15" spans="1:4" ht="19.2" customHeight="1">
      <c r="A15" s="4" t="s">
        <v>378</v>
      </c>
      <c r="B15" s="4" t="s">
        <v>379</v>
      </c>
    </row>
    <row r="16" spans="1:4" ht="19.2" customHeight="1">
      <c r="A16" s="4" t="s">
        <v>380</v>
      </c>
      <c r="B16" s="4" t="s">
        <v>381</v>
      </c>
    </row>
    <row r="17" spans="1:2" ht="19.2" customHeight="1">
      <c r="A17" s="4"/>
      <c r="B17" s="4"/>
    </row>
    <row r="18" spans="1:2" ht="19.2" customHeight="1">
      <c r="A18" s="4"/>
      <c r="B18" s="4"/>
    </row>
    <row r="19" spans="1:2" ht="19.2" customHeight="1">
      <c r="A19" s="4"/>
      <c r="B19" s="4"/>
    </row>
    <row r="20" spans="1:2" ht="19.2" customHeight="1">
      <c r="A20" s="4"/>
      <c r="B20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Products</vt:lpstr>
      <vt:lpstr>Employees</vt:lpstr>
      <vt:lpstr>Stock</vt:lpstr>
      <vt:lpstr>คู่มือการสอน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ณัฎฐ์  ยองหิ้น</cp:lastModifiedBy>
  <dcterms:modified xsi:type="dcterms:W3CDTF">2026-09-07T13:52:34Z</dcterms:modified>
</cp:coreProperties>
</file>